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&amp; Statistiques" sheetId="1" state="visible" r:id="rId1"/>
    <sheet xmlns:r="http://schemas.openxmlformats.org/officeDocument/2006/relationships" name="Répertoire CCISM (1192)" sheetId="2" state="visible" r:id="rId2"/>
    <sheet xmlns:r="http://schemas.openxmlformats.org/officeDocument/2006/relationships" name="Enrichi Web &amp; Réseaux (37)" sheetId="3" state="visible" r:id="rId3"/>
  </sheets>
  <definedNames>
    <definedName name="_xlnm._FilterDatabase" localSheetId="1" hidden="1">'Répertoire CCISM (1192)'!$A$1:$O$1193</definedName>
    <definedName name="_xlnm._FilterDatabase" localSheetId="2" hidden="1">'Enrichi Web &amp; Réseaux (37)'!$A$1:$I$38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718096"/>
      <sz val="11"/>
    </font>
    <font>
      <name val="Calibri"/>
      <color rgb="00A0AEC0"/>
      <sz val="9"/>
    </font>
    <font>
      <name val="Calibri"/>
      <color rgb="004A5568"/>
      <sz val="10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000EE"/>
      <sz val="10"/>
      <u val="single"/>
    </font>
  </fonts>
  <fills count="7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  <fill>
      <patternFill patternType="solid">
        <fgColor rgb="00F9FAFB"/>
        <bgColor rgb="00F9FAFB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8" fillId="4" borderId="1" pivotButton="0" quotePrefix="0" xfId="0"/>
    <xf numFmtId="0" fontId="7" fillId="3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2">
      <c r="B2" s="1" t="inlineStr">
        <is>
          <t>OBSERVATOIRE ÉCONOMIQUE DE PAEA (98711) — TAHITI</t>
        </is>
      </c>
    </row>
    <row r="3">
      <c r="B3" s="2" t="inlineStr">
        <is>
          <t>Répertoire Officiel Consolidé : Registre Électoral CCISM 2026 &amp; Enrichissement Réseaux Sociaux</t>
        </is>
      </c>
    </row>
    <row r="4">
      <c r="B4" s="3" t="inlineStr">
        <is>
          <t>Source Officielle : CCISM Polynésie française (arrêté au 31/12/2025) — https://www.ccism.pf/sites/default/files/docs/paea_2026.pdf</t>
        </is>
      </c>
    </row>
    <row r="6">
      <c r="C6" s="4" t="inlineStr">
        <is>
          <t>Total Entreprises CCISM</t>
        </is>
      </c>
      <c r="F6" s="4" t="inlineStr">
        <is>
          <t>Patentés (Pers. Physiques)</t>
        </is>
      </c>
      <c r="I6" s="4" t="inlineStr">
        <is>
          <t>Sociétés (SARL, SAS...)</t>
        </is>
      </c>
      <c r="L6" s="4" t="inlineStr">
        <is>
          <t>Profils Web / FB Vérifiés</t>
        </is>
      </c>
    </row>
    <row r="7">
      <c r="C7" s="5" t="n">
        <v>1192</v>
      </c>
      <c r="F7" s="5" t="n">
        <v>1055</v>
      </c>
      <c r="I7" s="5" t="n">
        <v>137</v>
      </c>
      <c r="L7" s="5" t="n">
        <v>37</v>
      </c>
    </row>
    <row r="10">
      <c r="B10" s="6" t="inlineStr">
        <is>
          <t>1. Répartition Officielle par Collège Électoral CCISM</t>
        </is>
      </c>
    </row>
    <row r="11">
      <c r="B11" s="7" t="inlineStr">
        <is>
          <t>Collège</t>
        </is>
      </c>
      <c r="C11" s="7" t="inlineStr">
        <is>
          <t>Libellé d'Activité</t>
        </is>
      </c>
      <c r="D11" s="7" t="inlineStr">
        <is>
          <t>Nombre d'Entreprises</t>
        </is>
      </c>
      <c r="E11" s="7" t="inlineStr">
        <is>
          <t>Part Relative (%)</t>
        </is>
      </c>
      <c r="F11" s="7" t="inlineStr">
        <is>
          <t>Total Salariés Déclarés</t>
        </is>
      </c>
    </row>
    <row r="12">
      <c r="B12" s="8" t="inlineStr">
        <is>
          <t>M</t>
        </is>
      </c>
      <c r="C12" s="9" t="inlineStr">
        <is>
          <t>Métiers &amp; Artisanat</t>
        </is>
      </c>
      <c r="D12" s="10" t="n">
        <v>595</v>
      </c>
      <c r="E12" s="10" t="inlineStr">
        <is>
          <t>49.9 %</t>
        </is>
      </c>
      <c r="F12" s="10" t="n">
        <v>79</v>
      </c>
    </row>
    <row r="13">
      <c r="B13" s="8" t="inlineStr">
        <is>
          <t>S</t>
        </is>
      </c>
      <c r="C13" s="9" t="inlineStr">
        <is>
          <t>Services</t>
        </is>
      </c>
      <c r="D13" s="10" t="n">
        <v>375</v>
      </c>
      <c r="E13" s="10" t="inlineStr">
        <is>
          <t>31.5 %</t>
        </is>
      </c>
      <c r="F13" s="10" t="n">
        <v>115</v>
      </c>
    </row>
    <row r="14">
      <c r="B14" s="8" t="inlineStr">
        <is>
          <t>C</t>
        </is>
      </c>
      <c r="C14" s="9" t="inlineStr">
        <is>
          <t>Commerce &amp; Distribution</t>
        </is>
      </c>
      <c r="D14" s="10" t="n">
        <v>194</v>
      </c>
      <c r="E14" s="10" t="inlineStr">
        <is>
          <t>16.3 %</t>
        </is>
      </c>
      <c r="F14" s="10" t="n">
        <v>286</v>
      </c>
    </row>
    <row r="15">
      <c r="B15" s="8" t="inlineStr">
        <is>
          <t>I</t>
        </is>
      </c>
      <c r="C15" s="9" t="inlineStr">
        <is>
          <t>Industrie &amp; Transformation</t>
        </is>
      </c>
      <c r="D15" s="10" t="n">
        <v>28</v>
      </c>
      <c r="E15" s="10" t="inlineStr">
        <is>
          <t>2.3 %</t>
        </is>
      </c>
      <c r="F15" s="10" t="n">
        <v>193</v>
      </c>
    </row>
    <row r="16">
      <c r="B16" s="11" t="inlineStr">
        <is>
          <t>TOTAL</t>
        </is>
      </c>
      <c r="C16" s="11" t="inlineStr">
        <is>
          <t>Ensemble de la commune de Paea</t>
        </is>
      </c>
      <c r="D16" s="11">
        <f>SUM(D12:D15)</f>
        <v/>
      </c>
      <c r="E16" s="11" t="inlineStr">
        <is>
          <t>100.0 %</t>
        </is>
      </c>
      <c r="F16" s="11">
        <f>SUM(F12:F15)</f>
        <v/>
      </c>
    </row>
    <row r="19">
      <c r="B19" s="6" t="inlineStr">
        <is>
          <t>2. Répartition par Forme Juridique (Patentés vs Sociétés)</t>
        </is>
      </c>
    </row>
    <row r="20">
      <c r="B20" s="7" t="inlineStr">
        <is>
          <t>Code Forme</t>
        </is>
      </c>
      <c r="C20" s="7" t="inlineStr">
        <is>
          <t>Nature Juridique</t>
        </is>
      </c>
      <c r="D20" s="7" t="inlineStr">
        <is>
          <t>Nombre d'Entités</t>
        </is>
      </c>
      <c r="E20" s="7" t="inlineStr">
        <is>
          <t>Part (%)</t>
        </is>
      </c>
    </row>
    <row r="21">
      <c r="B21" s="8" t="inlineStr">
        <is>
          <t>PPHY</t>
        </is>
      </c>
      <c r="C21" s="9" t="inlineStr">
        <is>
          <t>Patenté (Personne Physique)</t>
        </is>
      </c>
      <c r="D21" s="10" t="n">
        <v>1055</v>
      </c>
      <c r="E21" s="10" t="inlineStr">
        <is>
          <t>88.5 %</t>
        </is>
      </c>
    </row>
    <row r="22">
      <c r="B22" s="8" t="inlineStr">
        <is>
          <t>SARL</t>
        </is>
      </c>
      <c r="C22" s="9" t="inlineStr">
        <is>
          <t>SARL</t>
        </is>
      </c>
      <c r="D22" s="10" t="n">
        <v>108</v>
      </c>
      <c r="E22" s="10" t="inlineStr">
        <is>
          <t>9.1 %</t>
        </is>
      </c>
    </row>
    <row r="23">
      <c r="B23" s="8" t="inlineStr">
        <is>
          <t>SARL U</t>
        </is>
      </c>
      <c r="C23" s="9" t="inlineStr">
        <is>
          <t>SARL Unipersonnelle</t>
        </is>
      </c>
      <c r="D23" s="10" t="n">
        <v>13</v>
      </c>
      <c r="E23" s="10" t="inlineStr">
        <is>
          <t>1.1 %</t>
        </is>
      </c>
    </row>
    <row r="24">
      <c r="B24" s="8" t="inlineStr">
        <is>
          <t>SAS</t>
        </is>
      </c>
      <c r="C24" s="9" t="inlineStr">
        <is>
          <t>SAS</t>
        </is>
      </c>
      <c r="D24" s="10" t="n">
        <v>9</v>
      </c>
      <c r="E24" s="10" t="inlineStr">
        <is>
          <t>0.8 %</t>
        </is>
      </c>
    </row>
    <row r="25">
      <c r="B25" s="8" t="inlineStr">
        <is>
          <t>SELARL</t>
        </is>
      </c>
      <c r="C25" s="9" t="inlineStr">
        <is>
          <t>SELARL</t>
        </is>
      </c>
      <c r="D25" s="10" t="n">
        <v>3</v>
      </c>
      <c r="E25" s="10" t="inlineStr">
        <is>
          <t>0.3 %</t>
        </is>
      </c>
    </row>
    <row r="26">
      <c r="B26" s="8" t="inlineStr">
        <is>
          <t>SNC</t>
        </is>
      </c>
      <c r="C26" s="9" t="inlineStr">
        <is>
          <t>SNC</t>
        </is>
      </c>
      <c r="D26" s="10" t="n">
        <v>2</v>
      </c>
      <c r="E26" s="10" t="inlineStr">
        <is>
          <t>0.2 %</t>
        </is>
      </c>
    </row>
    <row r="27">
      <c r="B27" s="8" t="inlineStr">
        <is>
          <t>COOP</t>
        </is>
      </c>
      <c r="C27" s="9" t="inlineStr">
        <is>
          <t>Coopérative</t>
        </is>
      </c>
      <c r="D27" s="10" t="n">
        <v>1</v>
      </c>
      <c r="E27" s="10" t="inlineStr">
        <is>
          <t>0.1 %</t>
        </is>
      </c>
    </row>
    <row r="28">
      <c r="B28" s="8" t="inlineStr">
        <is>
          <t>SASU</t>
        </is>
      </c>
      <c r="C28" s="9" t="inlineStr">
        <is>
          <t>SAS Unipersonnelle</t>
        </is>
      </c>
      <c r="D28" s="10" t="n">
        <v>1</v>
      </c>
      <c r="E28" s="10" t="inlineStr">
        <is>
          <t>0.1 %</t>
        </is>
      </c>
    </row>
    <row r="29">
      <c r="B29" s="11" t="inlineStr">
        <is>
          <t>TOTAL</t>
        </is>
      </c>
      <c r="C29" s="11" t="inlineStr">
        <is>
          <t>Toutes formes juridiques</t>
        </is>
      </c>
      <c r="D29" s="11">
        <f>SUM(D21:D28)</f>
        <v/>
      </c>
      <c r="E29" s="11" t="inlineStr">
        <is>
          <t>100.0 %</t>
        </is>
      </c>
    </row>
  </sheetData>
  <mergeCells count="8">
    <mergeCell ref="C6:D6"/>
    <mergeCell ref="I6:J6"/>
    <mergeCell ref="C7:D7"/>
    <mergeCell ref="L6:M6"/>
    <mergeCell ref="L7:M7"/>
    <mergeCell ref="I7:J7"/>
    <mergeCell ref="F6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8" customWidth="1" min="3" max="3"/>
    <col width="38" customWidth="1" min="4" max="4"/>
    <col width="25" customWidth="1" min="5" max="5"/>
    <col width="14" customWidth="1" min="6" max="6"/>
    <col width="12" customWidth="1" min="7" max="7"/>
    <col width="10" customWidth="1" min="8" max="8"/>
    <col width="24" customWidth="1" min="9" max="9"/>
    <col width="16" customWidth="1" min="10" max="10"/>
    <col width="10" customWidth="1" min="11" max="11"/>
    <col width="15" customWidth="1" min="12" max="12"/>
    <col width="35" customWidth="1" min="13" max="13"/>
    <col width="24" customWidth="1" min="14" max="14"/>
    <col width="14" customWidth="1" min="15" max="15"/>
  </cols>
  <sheetData>
    <row r="1" ht="28" customHeight="1">
      <c r="A1" s="12" t="inlineStr">
        <is>
          <t>Identifiant</t>
        </is>
      </c>
      <c r="B1" s="12" t="inlineStr">
        <is>
          <t>N° Tahiti</t>
        </is>
      </c>
      <c r="C1" s="12" t="inlineStr">
        <is>
          <t>Raison Sociale / Nom</t>
        </is>
      </c>
      <c r="D1" s="12" t="inlineStr">
        <is>
          <t>Adresse Établissement</t>
        </is>
      </c>
      <c r="E1" s="12" t="inlineStr">
        <is>
          <t>Forme Juridique</t>
        </is>
      </c>
      <c r="F1" s="12" t="inlineStr">
        <is>
          <t>Statut</t>
        </is>
      </c>
      <c r="G1" s="12" t="inlineStr">
        <is>
          <t>Code NAF</t>
        </is>
      </c>
      <c r="H1" s="12" t="inlineStr">
        <is>
          <t>Collège</t>
        </is>
      </c>
      <c r="I1" s="12" t="inlineStr">
        <is>
          <t>Libellé Collège</t>
        </is>
      </c>
      <c r="J1" s="12" t="inlineStr">
        <is>
          <t>Effectif Salariés</t>
        </is>
      </c>
      <c r="K1" s="12" t="inlineStr">
        <is>
          <t>Voix</t>
        </is>
      </c>
      <c r="L1" s="12" t="inlineStr">
        <is>
          <t>N° RC</t>
        </is>
      </c>
      <c r="M1" s="12" t="inlineStr">
        <is>
          <t>Représentant Légal</t>
        </is>
      </c>
      <c r="N1" s="12" t="inlineStr">
        <is>
          <t>Qualité</t>
        </is>
      </c>
      <c r="O1" s="12" t="inlineStr">
        <is>
          <t>N° Électeur</t>
        </is>
      </c>
    </row>
    <row r="2" ht="20" customHeight="1">
      <c r="A2" s="13" t="inlineStr">
        <is>
          <t>PAEA-CCISM-0001</t>
        </is>
      </c>
      <c r="B2" s="13" t="inlineStr">
        <is>
          <t>557132</t>
        </is>
      </c>
      <c r="C2" s="14" t="inlineStr">
        <is>
          <t>AH LO NEE VAEHEANA MARIE PAULE</t>
        </is>
      </c>
      <c r="D2" s="14" t="inlineStr">
        <is>
          <t>RTE DU MARAE ARAHURAHU 98711 PAEA</t>
        </is>
      </c>
      <c r="E2" s="14" t="inlineStr">
        <is>
          <t>Patenté (Personne Physique)</t>
        </is>
      </c>
      <c r="F2" s="14" t="inlineStr">
        <is>
          <t>Patenté</t>
        </is>
      </c>
      <c r="G2" s="13" t="inlineStr">
        <is>
          <t>4781Z</t>
        </is>
      </c>
      <c r="H2" s="13" t="inlineStr">
        <is>
          <t>C</t>
        </is>
      </c>
      <c r="I2" s="14" t="inlineStr">
        <is>
          <t>Commerce</t>
        </is>
      </c>
      <c r="J2" s="15" t="n">
        <v>0</v>
      </c>
      <c r="K2" s="15" t="n">
        <v>1</v>
      </c>
      <c r="L2" s="14" t="inlineStr">
        <is>
          <t>16 2576 A</t>
        </is>
      </c>
      <c r="M2" s="14" t="inlineStr">
        <is>
          <t>Mme AH LO (Née VAEHEANA) MARIE PAULE</t>
        </is>
      </c>
      <c r="N2" s="14" t="inlineStr">
        <is>
          <t>Chef d entreprise</t>
        </is>
      </c>
      <c r="O2" s="15" t="inlineStr">
        <is>
          <t>55</t>
        </is>
      </c>
    </row>
    <row r="3" ht="20" customHeight="1">
      <c r="A3" s="16" t="inlineStr">
        <is>
          <t>PAEA-CCISM-0002</t>
        </is>
      </c>
      <c r="B3" s="16" t="inlineStr">
        <is>
          <t>A08372</t>
        </is>
      </c>
      <c r="C3" s="17" t="inlineStr">
        <is>
          <t>AIRIMA NEE FAREURA JEMIMA RAUTEA</t>
        </is>
      </c>
      <c r="D3" s="17" t="inlineStr">
        <is>
          <t>VALLEE OROFERO 98711 PAEA</t>
        </is>
      </c>
      <c r="E3" s="17" t="inlineStr">
        <is>
          <t>Patenté (Personne Physique)</t>
        </is>
      </c>
      <c r="F3" s="17" t="inlineStr">
        <is>
          <t>Patenté</t>
        </is>
      </c>
      <c r="G3" s="16" t="inlineStr">
        <is>
          <t>4799B</t>
        </is>
      </c>
      <c r="H3" s="16" t="inlineStr">
        <is>
          <t>C</t>
        </is>
      </c>
      <c r="I3" s="17" t="inlineStr">
        <is>
          <t>Commerce</t>
        </is>
      </c>
      <c r="J3" s="18" t="n">
        <v>0</v>
      </c>
      <c r="K3" s="18" t="n">
        <v>1</v>
      </c>
      <c r="L3" s="17" t="inlineStr">
        <is>
          <t>23 2392 A</t>
        </is>
      </c>
      <c r="M3" s="17" t="inlineStr">
        <is>
          <t>Mme AIRIMA (Née FAREURA) JEMIMA RAUTEA</t>
        </is>
      </c>
      <c r="N3" s="17" t="inlineStr">
        <is>
          <t>Chef d entreprise</t>
        </is>
      </c>
      <c r="O3" s="18" t="inlineStr">
        <is>
          <t>83</t>
        </is>
      </c>
    </row>
    <row r="4" ht="20" customHeight="1">
      <c r="A4" s="13" t="inlineStr">
        <is>
          <t>PAEA-CCISM-0003</t>
        </is>
      </c>
      <c r="B4" s="13" t="inlineStr">
        <is>
          <t>754580</t>
        </is>
      </c>
      <c r="C4" s="14" t="inlineStr">
        <is>
          <t>ALEXANDRE TEIKI</t>
        </is>
      </c>
      <c r="D4" s="14" t="inlineStr">
        <is>
          <t>LOTI. VAITUPA (VALLEE VAITUPA) 98711 PAEA</t>
        </is>
      </c>
      <c r="E4" s="14" t="inlineStr">
        <is>
          <t>Patenté (Personne Physique)</t>
        </is>
      </c>
      <c r="F4" s="14" t="inlineStr">
        <is>
          <t>Patenté</t>
        </is>
      </c>
      <c r="G4" s="13" t="inlineStr">
        <is>
          <t>4690Z</t>
        </is>
      </c>
      <c r="H4" s="13" t="inlineStr">
        <is>
          <t>C</t>
        </is>
      </c>
      <c r="I4" s="14" t="inlineStr">
        <is>
          <t>Commerce</t>
        </is>
      </c>
      <c r="J4" s="15" t="n">
        <v>0</v>
      </c>
      <c r="K4" s="15" t="n">
        <v>1</v>
      </c>
      <c r="L4" s="14" t="inlineStr">
        <is>
          <t>23 2097 A</t>
        </is>
      </c>
      <c r="M4" s="14" t="inlineStr">
        <is>
          <t>M ALEXANDRE TEIKI</t>
        </is>
      </c>
      <c r="N4" s="14" t="inlineStr">
        <is>
          <t>Chef d entreprise</t>
        </is>
      </c>
      <c r="O4" s="15" t="inlineStr">
        <is>
          <t>93</t>
        </is>
      </c>
    </row>
    <row r="5" ht="20" customHeight="1">
      <c r="A5" s="16" t="inlineStr">
        <is>
          <t>PAEA-CCISM-0004</t>
        </is>
      </c>
      <c r="B5" s="16" t="inlineStr">
        <is>
          <t>D27020</t>
        </is>
      </c>
      <c r="C5" s="17" t="inlineStr">
        <is>
          <t>ALGA ERIC</t>
        </is>
      </c>
      <c r="D5" s="17" t="inlineStr">
        <is>
          <t>RTE DU LOTISSEMENT BALDWIN 98711 PAEA</t>
        </is>
      </c>
      <c r="E5" s="17" t="inlineStr">
        <is>
          <t>Patenté (Personne Physique)</t>
        </is>
      </c>
      <c r="F5" s="17" t="inlineStr">
        <is>
          <t>Patenté</t>
        </is>
      </c>
      <c r="G5" s="16" t="inlineStr">
        <is>
          <t>4799B</t>
        </is>
      </c>
      <c r="H5" s="16" t="inlineStr">
        <is>
          <t>C</t>
        </is>
      </c>
      <c r="I5" s="17" t="inlineStr">
        <is>
          <t>Commerce</t>
        </is>
      </c>
      <c r="J5" s="18" t="n">
        <v>0</v>
      </c>
      <c r="K5" s="18" t="n">
        <v>1</v>
      </c>
      <c r="L5" s="17" t="inlineStr">
        <is>
          <t>21 1917 A</t>
        </is>
      </c>
      <c r="M5" s="17" t="inlineStr">
        <is>
          <t>M ALGA ERIC</t>
        </is>
      </c>
      <c r="N5" s="17" t="inlineStr">
        <is>
          <t>Chef d entreprise</t>
        </is>
      </c>
      <c r="O5" s="18" t="inlineStr">
        <is>
          <t>94</t>
        </is>
      </c>
    </row>
    <row r="6" ht="20" customHeight="1">
      <c r="A6" s="13" t="inlineStr">
        <is>
          <t>PAEA-CCISM-0005</t>
        </is>
      </c>
      <c r="B6" s="13" t="inlineStr">
        <is>
          <t>D16874</t>
        </is>
      </c>
      <c r="C6" s="14" t="inlineStr">
        <is>
          <t>ANIAMIOI NEE RAIOHA TATIANA</t>
        </is>
      </c>
      <c r="D6" s="14" t="inlineStr">
        <is>
          <t>RTE DE LA VALLEE OROFERO PK 21,9 C/MONT N°4 LOTISS. TAREVAREVA 98711 PAEA</t>
        </is>
      </c>
      <c r="E6" s="14" t="inlineStr">
        <is>
          <t>Patenté (Personne Physique)</t>
        </is>
      </c>
      <c r="F6" s="14" t="inlineStr">
        <is>
          <t>Patenté</t>
        </is>
      </c>
      <c r="G6" s="13" t="inlineStr">
        <is>
          <t>5610C</t>
        </is>
      </c>
      <c r="H6" s="13" t="inlineStr">
        <is>
          <t>C</t>
        </is>
      </c>
      <c r="I6" s="14" t="inlineStr">
        <is>
          <t>Commerce</t>
        </is>
      </c>
      <c r="J6" s="15" t="n">
        <v>0</v>
      </c>
      <c r="K6" s="15" t="n">
        <v>1</v>
      </c>
      <c r="L6" s="14" t="inlineStr">
        <is>
          <t>19 552 A</t>
        </is>
      </c>
      <c r="M6" s="14" t="inlineStr">
        <is>
          <t>Mme ANIAMIOI (Née RAIOHA) TATIANA</t>
        </is>
      </c>
      <c r="N6" s="14" t="inlineStr">
        <is>
          <t>Chef d entreprise</t>
        </is>
      </c>
      <c r="O6" s="15" t="inlineStr">
        <is>
          <t>153</t>
        </is>
      </c>
    </row>
    <row r="7" ht="20" customHeight="1">
      <c r="A7" s="16" t="inlineStr">
        <is>
          <t>PAEA-CCISM-0006</t>
        </is>
      </c>
      <c r="B7" s="16" t="inlineStr">
        <is>
          <t>C46550</t>
        </is>
      </c>
      <c r="C7" s="17" t="inlineStr">
        <is>
          <t>APEANG MATARII, STEEVEN</t>
        </is>
      </c>
      <c r="D7" s="17" t="inlineStr">
        <is>
          <t>RTE DE LA VALLEE OROFERO 98711 PAEA</t>
        </is>
      </c>
      <c r="E7" s="17" t="inlineStr">
        <is>
          <t>Patenté (Personne Physique)</t>
        </is>
      </c>
      <c r="F7" s="17" t="inlineStr">
        <is>
          <t>Patenté</t>
        </is>
      </c>
      <c r="G7" s="16" t="inlineStr">
        <is>
          <t>4690Z</t>
        </is>
      </c>
      <c r="H7" s="16" t="inlineStr">
        <is>
          <t>C</t>
        </is>
      </c>
      <c r="I7" s="17" t="inlineStr">
        <is>
          <t>Commerce</t>
        </is>
      </c>
      <c r="J7" s="18" t="n">
        <v>0</v>
      </c>
      <c r="K7" s="18" t="n">
        <v>1</v>
      </c>
      <c r="L7" s="17" t="inlineStr">
        <is>
          <t>22 5 A</t>
        </is>
      </c>
      <c r="M7" s="17" t="inlineStr">
        <is>
          <t>M APEANG MATARII, STEEVEN</t>
        </is>
      </c>
      <c r="N7" s="17" t="inlineStr">
        <is>
          <t>Chef d entreprise</t>
        </is>
      </c>
      <c r="O7" s="18" t="inlineStr">
        <is>
          <t>173</t>
        </is>
      </c>
    </row>
    <row r="8" ht="20" customHeight="1">
      <c r="A8" s="13" t="inlineStr">
        <is>
          <t>PAEA-CCISM-0007</t>
        </is>
      </c>
      <c r="B8" s="13" t="inlineStr">
        <is>
          <t>E50649</t>
        </is>
      </c>
      <c r="C8" s="14" t="inlineStr">
        <is>
          <t>APEANG TEPARII</t>
        </is>
      </c>
      <c r="D8" s="14" t="inlineStr">
        <is>
          <t>VALLEE OROFERO 98711 PAEA</t>
        </is>
      </c>
      <c r="E8" s="14" t="inlineStr">
        <is>
          <t>Patenté (Personne Physique)</t>
        </is>
      </c>
      <c r="F8" s="14" t="inlineStr">
        <is>
          <t>Patenté</t>
        </is>
      </c>
      <c r="G8" s="13" t="inlineStr">
        <is>
          <t>4690Z</t>
        </is>
      </c>
      <c r="H8" s="13" t="inlineStr">
        <is>
          <t>C</t>
        </is>
      </c>
      <c r="I8" s="14" t="inlineStr">
        <is>
          <t>Commerce</t>
        </is>
      </c>
      <c r="J8" s="15" t="n">
        <v>0</v>
      </c>
      <c r="K8" s="15" t="n">
        <v>1</v>
      </c>
      <c r="L8" s="14" t="inlineStr">
        <is>
          <t>21 2918 A</t>
        </is>
      </c>
      <c r="M8" s="14" t="inlineStr">
        <is>
          <t>M APEANG TEPARII</t>
        </is>
      </c>
      <c r="N8" s="14" t="inlineStr">
        <is>
          <t>Chef d entreprise</t>
        </is>
      </c>
      <c r="O8" s="15" t="inlineStr">
        <is>
          <t>176</t>
        </is>
      </c>
    </row>
    <row r="9" ht="20" customHeight="1">
      <c r="A9" s="16" t="inlineStr">
        <is>
          <t>PAEA-CCISM-0008</t>
        </is>
      </c>
      <c r="B9" s="16" t="inlineStr">
        <is>
          <t>A40631</t>
        </is>
      </c>
      <c r="C9" s="17" t="inlineStr">
        <is>
          <t>APUARII TEMEHANI</t>
        </is>
      </c>
      <c r="D9" s="17" t="inlineStr">
        <is>
          <t>QT APUARII-VAIERI 98711 PAEA</t>
        </is>
      </c>
      <c r="E9" s="17" t="inlineStr">
        <is>
          <t>Patenté (Personne Physique)</t>
        </is>
      </c>
      <c r="F9" s="17" t="inlineStr">
        <is>
          <t>Patenté</t>
        </is>
      </c>
      <c r="G9" s="16" t="inlineStr">
        <is>
          <t>4645Z</t>
        </is>
      </c>
      <c r="H9" s="16" t="inlineStr">
        <is>
          <t>C</t>
        </is>
      </c>
      <c r="I9" s="17" t="inlineStr">
        <is>
          <t>Commerce</t>
        </is>
      </c>
      <c r="J9" s="18" t="n">
        <v>0</v>
      </c>
      <c r="K9" s="18" t="n">
        <v>1</v>
      </c>
      <c r="L9" s="17" t="inlineStr">
        <is>
          <t>17 1602 A</t>
        </is>
      </c>
      <c r="M9" s="17" t="inlineStr">
        <is>
          <t>Mme APUARII TEMEHANI</t>
        </is>
      </c>
      <c r="N9" s="17" t="inlineStr">
        <is>
          <t>Chef d entreprise</t>
        </is>
      </c>
      <c r="O9" s="18" t="inlineStr">
        <is>
          <t>181</t>
        </is>
      </c>
    </row>
    <row r="10" ht="20" customHeight="1">
      <c r="A10" s="13" t="inlineStr">
        <is>
          <t>PAEA-CCISM-0009</t>
        </is>
      </c>
      <c r="B10" s="13" t="inlineStr">
        <is>
          <t>808501</t>
        </is>
      </c>
      <c r="C10" s="14" t="inlineStr">
        <is>
          <t>ARIITAI TAUMATA ALAIN</t>
        </is>
      </c>
      <c r="D10" s="14" t="inlineStr">
        <is>
          <t>98711 PAEA</t>
        </is>
      </c>
      <c r="E10" s="14" t="inlineStr">
        <is>
          <t>Patenté (Personne Physique)</t>
        </is>
      </c>
      <c r="F10" s="14" t="inlineStr">
        <is>
          <t>Patenté</t>
        </is>
      </c>
      <c r="G10" s="13" t="inlineStr">
        <is>
          <t>5610C</t>
        </is>
      </c>
      <c r="H10" s="13" t="inlineStr">
        <is>
          <t>C</t>
        </is>
      </c>
      <c r="I10" s="14" t="inlineStr">
        <is>
          <t>Commerce</t>
        </is>
      </c>
      <c r="J10" s="15" t="n">
        <v>4</v>
      </c>
      <c r="K10" s="15" t="n">
        <v>1</v>
      </c>
      <c r="L10" s="14" t="inlineStr">
        <is>
          <t>18 350 A</t>
        </is>
      </c>
      <c r="M10" s="14" t="inlineStr">
        <is>
          <t>M ARIITAI TAUMATA ALAIN</t>
        </is>
      </c>
      <c r="N10" s="14" t="inlineStr">
        <is>
          <t>Chef d entreprise</t>
        </is>
      </c>
      <c r="O10" s="15" t="inlineStr">
        <is>
          <t>206</t>
        </is>
      </c>
    </row>
    <row r="11" ht="20" customHeight="1">
      <c r="A11" s="16" t="inlineStr">
        <is>
          <t>PAEA-CCISM-0010</t>
        </is>
      </c>
      <c r="B11" s="16" t="inlineStr">
        <is>
          <t>F83150</t>
        </is>
      </c>
      <c r="C11" s="17" t="inlineStr">
        <is>
          <t>ATLAS PARTS IMPORT</t>
        </is>
      </c>
      <c r="D11" s="17" t="inlineStr">
        <is>
          <t>VALLEE DE OROFERO 98711 PAEA</t>
        </is>
      </c>
      <c r="E11" s="17" t="inlineStr">
        <is>
          <t>SARL Unipersonnelle</t>
        </is>
      </c>
      <c r="F11" s="17" t="inlineStr">
        <is>
          <t>Société</t>
        </is>
      </c>
      <c r="G11" s="16" t="inlineStr">
        <is>
          <t>4799B</t>
        </is>
      </c>
      <c r="H11" s="16" t="inlineStr">
        <is>
          <t>C</t>
        </is>
      </c>
      <c r="I11" s="17" t="inlineStr">
        <is>
          <t>Commerce</t>
        </is>
      </c>
      <c r="J11" s="18" t="n">
        <v>0</v>
      </c>
      <c r="K11" s="18" t="n">
        <v>1</v>
      </c>
      <c r="L11" s="17" t="inlineStr">
        <is>
          <t>24 137 B</t>
        </is>
      </c>
      <c r="M11" s="17" t="inlineStr">
        <is>
          <t>M ROBSON TEVITAU</t>
        </is>
      </c>
      <c r="N11" s="17" t="inlineStr">
        <is>
          <t>Autre</t>
        </is>
      </c>
      <c r="O11" s="18" t="inlineStr">
        <is>
          <t>251</t>
        </is>
      </c>
    </row>
    <row r="12" ht="20" customHeight="1">
      <c r="A12" s="13" t="inlineStr">
        <is>
          <t>PAEA-CCISM-0011</t>
        </is>
      </c>
      <c r="B12" s="13" t="inlineStr">
        <is>
          <t>E42299</t>
        </is>
      </c>
      <c r="C12" s="14" t="inlineStr">
        <is>
          <t>ATRIA</t>
        </is>
      </c>
      <c r="D12" s="14" t="inlineStr">
        <is>
          <t>TEITIEI 1 ET TEURUFARAPA SECT° AC 535 98711 PAEA</t>
        </is>
      </c>
      <c r="E12" s="14" t="inlineStr">
        <is>
          <t>SARL</t>
        </is>
      </c>
      <c r="F12" s="14" t="inlineStr">
        <is>
          <t>Société</t>
        </is>
      </c>
      <c r="G12" s="13" t="inlineStr">
        <is>
          <t>4799B</t>
        </is>
      </c>
      <c r="H12" s="13" t="inlineStr">
        <is>
          <t>C</t>
        </is>
      </c>
      <c r="I12" s="14" t="inlineStr">
        <is>
          <t>Commerce</t>
        </is>
      </c>
      <c r="J12" s="15" t="n">
        <v>10</v>
      </c>
      <c r="K12" s="15" t="n">
        <v>2</v>
      </c>
      <c r="L12" s="14" t="inlineStr">
        <is>
          <t>21 268 B</t>
        </is>
      </c>
      <c r="M12" s="14" t="inlineStr">
        <is>
          <t>M MARCHANDISE JULIEN</t>
        </is>
      </c>
      <c r="N12" s="14" t="inlineStr">
        <is>
          <t>Gérant et associé indéfiniment responsa</t>
        </is>
      </c>
      <c r="O12" s="15" t="inlineStr">
        <is>
          <t>255</t>
        </is>
      </c>
    </row>
    <row r="13" ht="20" customHeight="1">
      <c r="A13" s="16" t="inlineStr">
        <is>
          <t>PAEA-CCISM-0012</t>
        </is>
      </c>
      <c r="B13" s="16" t="inlineStr">
        <is>
          <t>F20848</t>
        </is>
      </c>
      <c r="C13" s="17" t="inlineStr">
        <is>
          <t>BADERT TEANUANUA</t>
        </is>
      </c>
      <c r="D13" s="17" t="inlineStr">
        <is>
          <t>N°3 SERV TUARAA 98711 PAEA</t>
        </is>
      </c>
      <c r="E13" s="17" t="inlineStr">
        <is>
          <t>Patenté (Personne Physique)</t>
        </is>
      </c>
      <c r="F13" s="17" t="inlineStr">
        <is>
          <t>Patenté</t>
        </is>
      </c>
      <c r="G13" s="16" t="inlineStr">
        <is>
          <t>5610C</t>
        </is>
      </c>
      <c r="H13" s="16" t="inlineStr">
        <is>
          <t>C</t>
        </is>
      </c>
      <c r="I13" s="17" t="inlineStr">
        <is>
          <t>Commerce</t>
        </is>
      </c>
      <c r="J13" s="18" t="n">
        <v>4</v>
      </c>
      <c r="K13" s="18" t="n">
        <v>1</v>
      </c>
      <c r="L13" s="17" t="inlineStr">
        <is>
          <t>23 604 A</t>
        </is>
      </c>
      <c r="M13" s="17" t="inlineStr">
        <is>
          <t>M BADERT TEANUANUA</t>
        </is>
      </c>
      <c r="N13" s="17" t="inlineStr">
        <is>
          <t>Chef d entreprise</t>
        </is>
      </c>
      <c r="O13" s="18" t="inlineStr">
        <is>
          <t>297</t>
        </is>
      </c>
    </row>
    <row r="14" ht="20" customHeight="1">
      <c r="A14" s="13" t="inlineStr">
        <is>
          <t>PAEA-CCISM-0013</t>
        </is>
      </c>
      <c r="B14" s="13" t="inlineStr">
        <is>
          <t>757500</t>
        </is>
      </c>
      <c r="C14" s="14" t="inlineStr">
        <is>
          <t>BAHRESY NEE LAM CHEUNG KARINE, CYNTHIA</t>
        </is>
      </c>
      <c r="D14" s="14" t="inlineStr">
        <is>
          <t>PAEA 98711 PAEA</t>
        </is>
      </c>
      <c r="E14" s="14" t="inlineStr">
        <is>
          <t>Patenté (Personne Physique)</t>
        </is>
      </c>
      <c r="F14" s="14" t="inlineStr">
        <is>
          <t>Patenté</t>
        </is>
      </c>
      <c r="G14" s="13" t="inlineStr">
        <is>
          <t>5610C</t>
        </is>
      </c>
      <c r="H14" s="13" t="inlineStr">
        <is>
          <t>C</t>
        </is>
      </c>
      <c r="I14" s="14" t="inlineStr">
        <is>
          <t>Commerce</t>
        </is>
      </c>
      <c r="J14" s="15" t="n">
        <v>0</v>
      </c>
      <c r="K14" s="15" t="n">
        <v>1</v>
      </c>
      <c r="L14" s="14" t="inlineStr">
        <is>
          <t>05 1808 A</t>
        </is>
      </c>
      <c r="M14" s="14" t="inlineStr">
        <is>
          <t>Mme BAHRESY (Née LAM CHEUNG) KARINE, CYNTHIA</t>
        </is>
      </c>
      <c r="N14" s="14" t="inlineStr">
        <is>
          <t>Chef d entreprise</t>
        </is>
      </c>
      <c r="O14" s="15" t="inlineStr">
        <is>
          <t>299</t>
        </is>
      </c>
    </row>
    <row r="15" ht="20" customHeight="1">
      <c r="A15" s="16" t="inlineStr">
        <is>
          <t>PAEA-CCISM-0014</t>
        </is>
      </c>
      <c r="B15" s="16" t="inlineStr">
        <is>
          <t>A92806</t>
        </is>
      </c>
      <c r="C15" s="17" t="inlineStr">
        <is>
          <t>BAMBRIDGE TEPOE</t>
        </is>
      </c>
      <c r="D15" s="17" t="inlineStr">
        <is>
          <t>LOT BALDWIN 98711 PAEA</t>
        </is>
      </c>
      <c r="E15" s="17" t="inlineStr">
        <is>
          <t>Patenté (Personne Physique)</t>
        </is>
      </c>
      <c r="F15" s="17" t="inlineStr">
        <is>
          <t>Patenté</t>
        </is>
      </c>
      <c r="G15" s="16" t="inlineStr">
        <is>
          <t>4799A</t>
        </is>
      </c>
      <c r="H15" s="16" t="inlineStr">
        <is>
          <t>C</t>
        </is>
      </c>
      <c r="I15" s="17" t="inlineStr">
        <is>
          <t>Commerce</t>
        </is>
      </c>
      <c r="J15" s="18" t="n">
        <v>0</v>
      </c>
      <c r="K15" s="18" t="n">
        <v>1</v>
      </c>
      <c r="L15" s="17" t="inlineStr">
        <is>
          <t>14 1 A</t>
        </is>
      </c>
      <c r="M15" s="17" t="inlineStr">
        <is>
          <t>Mme BAMBRIDGE TEPOE</t>
        </is>
      </c>
      <c r="N15" s="17" t="inlineStr">
        <is>
          <t>Chef d entreprise</t>
        </is>
      </c>
      <c r="O15" s="18" t="inlineStr">
        <is>
          <t>309</t>
        </is>
      </c>
    </row>
    <row r="16" ht="20" customHeight="1">
      <c r="A16" s="13" t="inlineStr">
        <is>
          <t>PAEA-CCISM-0015</t>
        </is>
      </c>
      <c r="B16" s="13" t="inlineStr">
        <is>
          <t>E77949</t>
        </is>
      </c>
      <c r="C16" s="14" t="inlineStr">
        <is>
          <t>BARAZER EMMANUEL</t>
        </is>
      </c>
      <c r="D16" s="14" t="inlineStr">
        <is>
          <t>RÉSIDENCE VAITUPA LOT N° 5 98711 PAEA</t>
        </is>
      </c>
      <c r="E16" s="14" t="inlineStr">
        <is>
          <t>Patenté (Personne Physique)</t>
        </is>
      </c>
      <c r="F16" s="14" t="inlineStr">
        <is>
          <t>Patenté</t>
        </is>
      </c>
      <c r="G16" s="13" t="inlineStr">
        <is>
          <t>4799B</t>
        </is>
      </c>
      <c r="H16" s="13" t="inlineStr">
        <is>
          <t>C</t>
        </is>
      </c>
      <c r="I16" s="14" t="inlineStr">
        <is>
          <t>Commerce</t>
        </is>
      </c>
      <c r="J16" s="15" t="n">
        <v>0</v>
      </c>
      <c r="K16" s="15" t="n">
        <v>1</v>
      </c>
      <c r="L16" s="14" t="inlineStr">
        <is>
          <t>22 1212 A</t>
        </is>
      </c>
      <c r="M16" s="14" t="inlineStr">
        <is>
          <t>M BARAZER EMMANUEL</t>
        </is>
      </c>
      <c r="N16" s="14" t="inlineStr">
        <is>
          <t>Chef d entreprise</t>
        </is>
      </c>
      <c r="O16" s="15" t="inlineStr">
        <is>
          <t>314</t>
        </is>
      </c>
    </row>
    <row r="17" ht="20" customHeight="1">
      <c r="A17" s="16" t="inlineStr">
        <is>
          <t>PAEA-CCISM-0016</t>
        </is>
      </c>
      <c r="B17" s="16" t="inlineStr">
        <is>
          <t>A96245</t>
        </is>
      </c>
      <c r="C17" s="17" t="inlineStr">
        <is>
          <t>BARBOS NICOLAS</t>
        </is>
      </c>
      <c r="D17" s="17" t="inlineStr">
        <is>
          <t>PROPRIÉTÉ BRILLANT 98711 PAEA</t>
        </is>
      </c>
      <c r="E17" s="17" t="inlineStr">
        <is>
          <t>Patenté (Personne Physique)</t>
        </is>
      </c>
      <c r="F17" s="17" t="inlineStr">
        <is>
          <t>Patenté</t>
        </is>
      </c>
      <c r="G17" s="16" t="inlineStr">
        <is>
          <t>5610C</t>
        </is>
      </c>
      <c r="H17" s="16" t="inlineStr">
        <is>
          <t>C</t>
        </is>
      </c>
      <c r="I17" s="17" t="inlineStr">
        <is>
          <t>Commerce</t>
        </is>
      </c>
      <c r="J17" s="18" t="n">
        <v>0</v>
      </c>
      <c r="K17" s="18" t="n">
        <v>1</v>
      </c>
      <c r="L17" s="17" t="inlineStr">
        <is>
          <t>14 188 A</t>
        </is>
      </c>
      <c r="M17" s="17" t="inlineStr">
        <is>
          <t>M BARBOS NICOLAS</t>
        </is>
      </c>
      <c r="N17" s="17" t="inlineStr">
        <is>
          <t>Chef d entreprise</t>
        </is>
      </c>
      <c r="O17" s="18" t="inlineStr">
        <is>
          <t>319</t>
        </is>
      </c>
    </row>
    <row r="18" ht="20" customHeight="1">
      <c r="A18" s="13" t="inlineStr">
        <is>
          <t>PAEA-CCISM-0017</t>
        </is>
      </c>
      <c r="B18" s="13" t="inlineStr">
        <is>
          <t>F62022</t>
        </is>
      </c>
      <c r="C18" s="14" t="inlineStr">
        <is>
          <t>BARSINAS TEMAIA, SILAS</t>
        </is>
      </c>
      <c r="D18" s="14" t="inlineStr">
        <is>
          <t>98711 PAEA</t>
        </is>
      </c>
      <c r="E18" s="14" t="inlineStr">
        <is>
          <t>Patenté (Personne Physique)</t>
        </is>
      </c>
      <c r="F18" s="14" t="inlineStr">
        <is>
          <t>Patenté</t>
        </is>
      </c>
      <c r="G18" s="13" t="inlineStr">
        <is>
          <t>4690Z</t>
        </is>
      </c>
      <c r="H18" s="13" t="inlineStr">
        <is>
          <t>C</t>
        </is>
      </c>
      <c r="I18" s="14" t="inlineStr">
        <is>
          <t>Commerce</t>
        </is>
      </c>
      <c r="J18" s="15" t="n">
        <v>0</v>
      </c>
      <c r="K18" s="15" t="n">
        <v>1</v>
      </c>
      <c r="L18" s="14" t="inlineStr">
        <is>
          <t>23 3146 A</t>
        </is>
      </c>
      <c r="M18" s="14" t="inlineStr">
        <is>
          <t>M BARSINAS TEMAIA, SILAS</t>
        </is>
      </c>
      <c r="N18" s="14" t="inlineStr">
        <is>
          <t>Chef d entreprise</t>
        </is>
      </c>
      <c r="O18" s="15" t="inlineStr">
        <is>
          <t>337</t>
        </is>
      </c>
    </row>
    <row r="19" ht="20" customHeight="1">
      <c r="A19" s="16" t="inlineStr">
        <is>
          <t>PAEA-CCISM-0018</t>
        </is>
      </c>
      <c r="B19" s="16" t="inlineStr">
        <is>
          <t>671339</t>
        </is>
      </c>
      <c r="C19" s="17" t="inlineStr">
        <is>
          <t>BASTOS NELSON</t>
        </is>
      </c>
      <c r="D19" s="17" t="inlineStr">
        <is>
          <t>RTE ALLEE PIERRE LOTI PAEA PK 18.900 C/MONT 98711 PAEA</t>
        </is>
      </c>
      <c r="E19" s="17" t="inlineStr">
        <is>
          <t>Patenté (Personne Physique)</t>
        </is>
      </c>
      <c r="F19" s="17" t="inlineStr">
        <is>
          <t>Patenté</t>
        </is>
      </c>
      <c r="G19" s="16" t="inlineStr">
        <is>
          <t>4778C</t>
        </is>
      </c>
      <c r="H19" s="16" t="inlineStr">
        <is>
          <t>C</t>
        </is>
      </c>
      <c r="I19" s="17" t="inlineStr">
        <is>
          <t>Commerce</t>
        </is>
      </c>
      <c r="J19" s="18" t="n">
        <v>0</v>
      </c>
      <c r="K19" s="18" t="n">
        <v>1</v>
      </c>
      <c r="L19" s="17" t="inlineStr">
        <is>
          <t>12 230 A</t>
        </is>
      </c>
      <c r="M19" s="17" t="inlineStr">
        <is>
          <t>M BASTOS NELSON NED</t>
        </is>
      </c>
      <c r="N19" s="17" t="inlineStr">
        <is>
          <t>Chef d entreprise</t>
        </is>
      </c>
      <c r="O19" s="18" t="inlineStr">
        <is>
          <t>346</t>
        </is>
      </c>
    </row>
    <row r="20" ht="20" customHeight="1">
      <c r="A20" s="13" t="inlineStr">
        <is>
          <t>PAEA-CCISM-0019</t>
        </is>
      </c>
      <c r="B20" s="13" t="inlineStr">
        <is>
          <t>D42573</t>
        </is>
      </c>
      <c r="C20" s="14" t="inlineStr">
        <is>
          <t>BIBI CASSE AUTO</t>
        </is>
      </c>
      <c r="D20" s="14" t="inlineStr">
        <is>
          <t>98711 PAEA</t>
        </is>
      </c>
      <c r="E20" s="14" t="inlineStr">
        <is>
          <t>SARL</t>
        </is>
      </c>
      <c r="F20" s="14" t="inlineStr">
        <is>
          <t>Société</t>
        </is>
      </c>
      <c r="G20" s="13" t="inlineStr">
        <is>
          <t>4532Z</t>
        </is>
      </c>
      <c r="H20" s="13" t="inlineStr">
        <is>
          <t>C</t>
        </is>
      </c>
      <c r="I20" s="14" t="inlineStr">
        <is>
          <t>Commerce</t>
        </is>
      </c>
      <c r="J20" s="15" t="n">
        <v>8</v>
      </c>
      <c r="K20" s="15" t="n">
        <v>2</v>
      </c>
      <c r="L20" s="14" t="inlineStr">
        <is>
          <t>19 298 B</t>
        </is>
      </c>
      <c r="M20" s="14" t="inlineStr">
        <is>
          <t>M BIREAU DIDIER</t>
        </is>
      </c>
      <c r="N20" s="14" t="inlineStr">
        <is>
          <t>Gérant et associé indéfiniment responsa</t>
        </is>
      </c>
      <c r="O20" s="15" t="inlineStr">
        <is>
          <t>407</t>
        </is>
      </c>
    </row>
    <row r="21" ht="20" customHeight="1">
      <c r="A21" s="16" t="inlineStr">
        <is>
          <t>PAEA-CCISM-0020</t>
        </is>
      </c>
      <c r="B21" s="16" t="inlineStr">
        <is>
          <t>387910</t>
        </is>
      </c>
      <c r="C21" s="17" t="inlineStr">
        <is>
          <t>BODIN HEINUI,</t>
        </is>
      </c>
      <c r="D21" s="17" t="inlineStr">
        <is>
          <t>98711 PAEA</t>
        </is>
      </c>
      <c r="E21" s="17" t="inlineStr">
        <is>
          <t>Patenté (Personne Physique)</t>
        </is>
      </c>
      <c r="F21" s="17" t="inlineStr">
        <is>
          <t>Patenté</t>
        </is>
      </c>
      <c r="G21" s="16" t="inlineStr">
        <is>
          <t>4799A</t>
        </is>
      </c>
      <c r="H21" s="16" t="inlineStr">
        <is>
          <t>C</t>
        </is>
      </c>
      <c r="I21" s="17" t="inlineStr">
        <is>
          <t>Commerce</t>
        </is>
      </c>
      <c r="J21" s="18" t="n">
        <v>0</v>
      </c>
      <c r="K21" s="18" t="n">
        <v>1</v>
      </c>
      <c r="L21" s="17" t="inlineStr">
        <is>
          <t>22 2498 A</t>
        </is>
      </c>
      <c r="M21" s="17" t="inlineStr">
        <is>
          <t>Mme BODIN HEINUI,</t>
        </is>
      </c>
      <c r="N21" s="17" t="inlineStr">
        <is>
          <t>Chef d entreprise</t>
        </is>
      </c>
      <c r="O21" s="18" t="inlineStr">
        <is>
          <t>437</t>
        </is>
      </c>
    </row>
    <row r="22" ht="20" customHeight="1">
      <c r="A22" s="13" t="inlineStr">
        <is>
          <t>PAEA-CCISM-0021</t>
        </is>
      </c>
      <c r="B22" s="13" t="inlineStr">
        <is>
          <t>514299</t>
        </is>
      </c>
      <c r="C22" s="14" t="inlineStr">
        <is>
          <t>BRILLANT MACO</t>
        </is>
      </c>
      <c r="D22" s="14" t="inlineStr">
        <is>
          <t>98711 PAEA</t>
        </is>
      </c>
      <c r="E22" s="14" t="inlineStr">
        <is>
          <t>Patenté (Personne Physique)</t>
        </is>
      </c>
      <c r="F22" s="14" t="inlineStr">
        <is>
          <t>Patenté</t>
        </is>
      </c>
      <c r="G22" s="13" t="inlineStr">
        <is>
          <t>4690Z</t>
        </is>
      </c>
      <c r="H22" s="13" t="inlineStr">
        <is>
          <t>C</t>
        </is>
      </c>
      <c r="I22" s="14" t="inlineStr">
        <is>
          <t>Commerce</t>
        </is>
      </c>
      <c r="J22" s="15" t="n">
        <v>0</v>
      </c>
      <c r="K22" s="15" t="n">
        <v>1</v>
      </c>
      <c r="L22" s="14" t="inlineStr">
        <is>
          <t>15 2008 A</t>
        </is>
      </c>
      <c r="M22" s="14" t="inlineStr">
        <is>
          <t>M BRILLANT MACO</t>
        </is>
      </c>
      <c r="N22" s="14" t="inlineStr">
        <is>
          <t>Chef d entreprise</t>
        </is>
      </c>
      <c r="O22" s="15" t="inlineStr">
        <is>
          <t>525</t>
        </is>
      </c>
    </row>
    <row r="23" ht="20" customHeight="1">
      <c r="A23" s="16" t="inlineStr">
        <is>
          <t>PAEA-CCISM-0022</t>
        </is>
      </c>
      <c r="B23" s="16" t="inlineStr">
        <is>
          <t>F77301</t>
        </is>
      </c>
      <c r="C23" s="17" t="inlineStr">
        <is>
          <t>BRODIEN VATEA</t>
        </is>
      </c>
      <c r="D23" s="17" t="inlineStr">
        <is>
          <t>STDE TEORE 98711 PAEA</t>
        </is>
      </c>
      <c r="E23" s="17" t="inlineStr">
        <is>
          <t>Patenté (Personne Physique)</t>
        </is>
      </c>
      <c r="F23" s="17" t="inlineStr">
        <is>
          <t>Patenté</t>
        </is>
      </c>
      <c r="G23" s="16" t="inlineStr">
        <is>
          <t>4511Z</t>
        </is>
      </c>
      <c r="H23" s="16" t="inlineStr">
        <is>
          <t>C</t>
        </is>
      </c>
      <c r="I23" s="17" t="inlineStr">
        <is>
          <t>Commerce</t>
        </is>
      </c>
      <c r="J23" s="18" t="n">
        <v>0</v>
      </c>
      <c r="K23" s="18" t="n">
        <v>1</v>
      </c>
      <c r="L23" s="17" t="inlineStr">
        <is>
          <t>24 738 A</t>
        </is>
      </c>
      <c r="M23" s="17" t="inlineStr">
        <is>
          <t>M BRODIEN VATEA</t>
        </is>
      </c>
      <c r="N23" s="17" t="inlineStr">
        <is>
          <t>Chef d entreprise</t>
        </is>
      </c>
      <c r="O23" s="18" t="inlineStr">
        <is>
          <t>530</t>
        </is>
      </c>
    </row>
    <row r="24" ht="20" customHeight="1">
      <c r="A24" s="13" t="inlineStr">
        <is>
          <t>PAEA-CCISM-0023</t>
        </is>
      </c>
      <c r="B24" s="13" t="inlineStr">
        <is>
          <t>D41419</t>
        </is>
      </c>
      <c r="C24" s="14" t="inlineStr">
        <is>
          <t>BRUNEAU TEIKIMOEKOHU</t>
        </is>
      </c>
      <c r="D24" s="14" t="inlineStr">
        <is>
          <t>RTE DE LA VALLEE OROFERO 98711 PAEA</t>
        </is>
      </c>
      <c r="E24" s="14" t="inlineStr">
        <is>
          <t>Patenté (Personne Physique)</t>
        </is>
      </c>
      <c r="F24" s="14" t="inlineStr">
        <is>
          <t>Patenté</t>
        </is>
      </c>
      <c r="G24" s="13" t="inlineStr">
        <is>
          <t>4690Z</t>
        </is>
      </c>
      <c r="H24" s="13" t="inlineStr">
        <is>
          <t>C</t>
        </is>
      </c>
      <c r="I24" s="14" t="inlineStr">
        <is>
          <t>Commerce</t>
        </is>
      </c>
      <c r="J24" s="15" t="n">
        <v>0</v>
      </c>
      <c r="K24" s="15" t="n">
        <v>1</v>
      </c>
      <c r="L24" s="14" t="inlineStr">
        <is>
          <t>19 2409 A</t>
        </is>
      </c>
      <c r="M24" s="14" t="inlineStr">
        <is>
          <t>M BRUNEAU TEIKIMOEKOHU</t>
        </is>
      </c>
      <c r="N24" s="14" t="inlineStr">
        <is>
          <t>Chef d entreprise</t>
        </is>
      </c>
      <c r="O24" s="15" t="inlineStr">
        <is>
          <t>547</t>
        </is>
      </c>
    </row>
    <row r="25" ht="20" customHeight="1">
      <c r="A25" s="16" t="inlineStr">
        <is>
          <t>PAEA-CCISM-0024</t>
        </is>
      </c>
      <c r="B25" s="16" t="inlineStr">
        <is>
          <t>F83812</t>
        </is>
      </c>
      <c r="C25" s="17" t="inlineStr">
        <is>
          <t>BRUNEL KAUEHI</t>
        </is>
      </c>
      <c r="D25" s="17" t="inlineStr">
        <is>
          <t>N°315 RESIDENCE LES JARDINS DE PAEA 98711 PAEA</t>
        </is>
      </c>
      <c r="E25" s="17" t="inlineStr">
        <is>
          <t>Patenté (Personne Physique)</t>
        </is>
      </c>
      <c r="F25" s="17" t="inlineStr">
        <is>
          <t>Patenté</t>
        </is>
      </c>
      <c r="G25" s="16" t="inlineStr">
        <is>
          <t>4690Z</t>
        </is>
      </c>
      <c r="H25" s="16" t="inlineStr">
        <is>
          <t>C</t>
        </is>
      </c>
      <c r="I25" s="17" t="inlineStr">
        <is>
          <t>Commerce</t>
        </is>
      </c>
      <c r="J25" s="18" t="n">
        <v>0</v>
      </c>
      <c r="K25" s="18" t="n">
        <v>1</v>
      </c>
      <c r="L25" s="17" t="inlineStr">
        <is>
          <t>25 939 A</t>
        </is>
      </c>
      <c r="M25" s="17" t="inlineStr">
        <is>
          <t>Mme BRUNEL KAUEHI</t>
        </is>
      </c>
      <c r="N25" s="17" t="inlineStr">
        <is>
          <t>Chef d entreprise</t>
        </is>
      </c>
      <c r="O25" s="18" t="inlineStr">
        <is>
          <t>548</t>
        </is>
      </c>
    </row>
    <row r="26" ht="20" customHeight="1">
      <c r="A26" s="13" t="inlineStr">
        <is>
          <t>PAEA-CCISM-0025</t>
        </is>
      </c>
      <c r="B26" s="13" t="inlineStr">
        <is>
          <t>D09689</t>
        </is>
      </c>
      <c r="C26" s="14" t="inlineStr">
        <is>
          <t>CADOUSTEAU MAEVA</t>
        </is>
      </c>
      <c r="D26" s="14" t="inlineStr">
        <is>
          <t>53 RTE SERVITUDE CADOUSTEAU 98711 PAEA</t>
        </is>
      </c>
      <c r="E26" s="14" t="inlineStr">
        <is>
          <t>Patenté (Personne Physique)</t>
        </is>
      </c>
      <c r="F26" s="14" t="inlineStr">
        <is>
          <t>Patenté</t>
        </is>
      </c>
      <c r="G26" s="13" t="inlineStr">
        <is>
          <t>5610C</t>
        </is>
      </c>
      <c r="H26" s="13" t="inlineStr">
        <is>
          <t>C</t>
        </is>
      </c>
      <c r="I26" s="14" t="inlineStr">
        <is>
          <t>Commerce</t>
        </is>
      </c>
      <c r="J26" s="15" t="n">
        <v>0</v>
      </c>
      <c r="K26" s="15" t="n">
        <v>1</v>
      </c>
      <c r="L26" s="14" t="inlineStr">
        <is>
          <t>19 70 A</t>
        </is>
      </c>
      <c r="M26" s="14" t="inlineStr">
        <is>
          <t>Mme CADOUSTEAU MAEVA</t>
        </is>
      </c>
      <c r="N26" s="14" t="inlineStr">
        <is>
          <t>Chef d entreprise</t>
        </is>
      </c>
      <c r="O26" s="15" t="inlineStr">
        <is>
          <t>573</t>
        </is>
      </c>
    </row>
    <row r="27" ht="20" customHeight="1">
      <c r="A27" s="16" t="inlineStr">
        <is>
          <t>PAEA-CCISM-0026</t>
        </is>
      </c>
      <c r="B27" s="16" t="inlineStr">
        <is>
          <t>948166</t>
        </is>
      </c>
      <c r="C27" s="17" t="inlineStr">
        <is>
          <t>CADOUSTEAU MIKE RAIMANA</t>
        </is>
      </c>
      <c r="D27" s="17" t="inlineStr">
        <is>
          <t>PAEA PK 19.500 C/MONT - SERV.CADOUSTEA 98711 PAEA</t>
        </is>
      </c>
      <c r="E27" s="17" t="inlineStr">
        <is>
          <t>Patenté (Personne Physique)</t>
        </is>
      </c>
      <c r="F27" s="17" t="inlineStr">
        <is>
          <t>Patenté</t>
        </is>
      </c>
      <c r="G27" s="16" t="inlineStr">
        <is>
          <t>5610C</t>
        </is>
      </c>
      <c r="H27" s="16" t="inlineStr">
        <is>
          <t>C</t>
        </is>
      </c>
      <c r="I27" s="17" t="inlineStr">
        <is>
          <t>Commerce</t>
        </is>
      </c>
      <c r="J27" s="18" t="n">
        <v>3</v>
      </c>
      <c r="K27" s="18" t="n">
        <v>1</v>
      </c>
      <c r="L27" s="17" t="inlineStr">
        <is>
          <t>10 893 A</t>
        </is>
      </c>
      <c r="M27" s="17" t="inlineStr">
        <is>
          <t>M CADOUSTEAU MIKE RAIMANA</t>
        </is>
      </c>
      <c r="N27" s="17" t="inlineStr">
        <is>
          <t>Chef d entreprise</t>
        </is>
      </c>
      <c r="O27" s="18" t="inlineStr">
        <is>
          <t>574</t>
        </is>
      </c>
    </row>
    <row r="28" ht="20" customHeight="1">
      <c r="A28" s="13" t="inlineStr">
        <is>
          <t>PAEA-CCISM-0027</t>
        </is>
      </c>
      <c r="B28" s="13" t="inlineStr">
        <is>
          <t>D08590</t>
        </is>
      </c>
      <c r="C28" s="14" t="inlineStr">
        <is>
          <t>CAISHEN-TEMANA</t>
        </is>
      </c>
      <c r="D28" s="14" t="inlineStr">
        <is>
          <t>SERV PAPEHUE 98711 PAEA</t>
        </is>
      </c>
      <c r="E28" s="14" t="inlineStr">
        <is>
          <t>SARL</t>
        </is>
      </c>
      <c r="F28" s="14" t="inlineStr">
        <is>
          <t>Société</t>
        </is>
      </c>
      <c r="G28" s="13" t="inlineStr">
        <is>
          <t>5610A</t>
        </is>
      </c>
      <c r="H28" s="13" t="inlineStr">
        <is>
          <t>C</t>
        </is>
      </c>
      <c r="I28" s="14" t="inlineStr">
        <is>
          <t>Commerce</t>
        </is>
      </c>
      <c r="J28" s="15" t="n">
        <v>8</v>
      </c>
      <c r="K28" s="15" t="n">
        <v>2</v>
      </c>
      <c r="L28" s="14" t="inlineStr">
        <is>
          <t>19 9 B</t>
        </is>
      </c>
      <c r="M28" s="14" t="inlineStr">
        <is>
          <t>Mme MANATE-MARAETAATA GWENDOLINE</t>
        </is>
      </c>
      <c r="N28" s="14" t="inlineStr">
        <is>
          <t>Autre</t>
        </is>
      </c>
      <c r="O28" s="15" t="inlineStr">
        <is>
          <t>582</t>
        </is>
      </c>
    </row>
    <row r="29" ht="20" customHeight="1">
      <c r="A29" s="16" t="inlineStr">
        <is>
          <t>PAEA-CCISM-0028</t>
        </is>
      </c>
      <c r="B29" s="16" t="inlineStr">
        <is>
          <t>A62445</t>
        </is>
      </c>
      <c r="C29" s="17" t="inlineStr">
        <is>
          <t>CASH METAL POLYNESIE</t>
        </is>
      </c>
      <c r="D29" s="17" t="inlineStr">
        <is>
          <t>98711 PAEA</t>
        </is>
      </c>
      <c r="E29" s="17" t="inlineStr">
        <is>
          <t>SARL</t>
        </is>
      </c>
      <c r="F29" s="17" t="inlineStr">
        <is>
          <t>Société</t>
        </is>
      </c>
      <c r="G29" s="16" t="inlineStr">
        <is>
          <t>4677Z</t>
        </is>
      </c>
      <c r="H29" s="16" t="inlineStr">
        <is>
          <t>C</t>
        </is>
      </c>
      <c r="I29" s="17" t="inlineStr">
        <is>
          <t>Commerce</t>
        </is>
      </c>
      <c r="J29" s="18" t="n">
        <v>0</v>
      </c>
      <c r="K29" s="18" t="n">
        <v>1</v>
      </c>
      <c r="L29" s="17" t="inlineStr">
        <is>
          <t>13 74 B</t>
        </is>
      </c>
      <c r="M29" s="17" t="inlineStr">
        <is>
          <t>M JOUBERT LAURENT</t>
        </is>
      </c>
      <c r="N29" s="17" t="inlineStr">
        <is>
          <t>Gérant et associé indéfiniment responsa</t>
        </is>
      </c>
      <c r="O29" s="18" t="inlineStr">
        <is>
          <t>618</t>
        </is>
      </c>
    </row>
    <row r="30" ht="20" customHeight="1">
      <c r="A30" s="13" t="inlineStr">
        <is>
          <t>PAEA-CCISM-0029</t>
        </is>
      </c>
      <c r="B30" s="13" t="inlineStr">
        <is>
          <t>F42230</t>
        </is>
      </c>
      <c r="C30" s="14" t="inlineStr">
        <is>
          <t>CASTELLAN NEE MONTELIMART NADINE</t>
        </is>
      </c>
      <c r="D30" s="14" t="inlineStr">
        <is>
          <t>SERV CADOUSTEAU 98711 PAEA</t>
        </is>
      </c>
      <c r="E30" s="14" t="inlineStr">
        <is>
          <t>Patenté (Personne Physique)</t>
        </is>
      </c>
      <c r="F30" s="14" t="inlineStr">
        <is>
          <t>Patenté</t>
        </is>
      </c>
      <c r="G30" s="13" t="inlineStr">
        <is>
          <t>5610C</t>
        </is>
      </c>
      <c r="H30" s="13" t="inlineStr">
        <is>
          <t>C</t>
        </is>
      </c>
      <c r="I30" s="14" t="inlineStr">
        <is>
          <t>Commerce</t>
        </is>
      </c>
      <c r="J30" s="15" t="n">
        <v>1</v>
      </c>
      <c r="K30" s="15" t="n">
        <v>1</v>
      </c>
      <c r="L30" s="14" t="inlineStr">
        <is>
          <t>23 1919 A</t>
        </is>
      </c>
      <c r="M30" s="14" t="inlineStr">
        <is>
          <t>Mme CASTELLAN (Née MONTELIMART) NADINE</t>
        </is>
      </c>
      <c r="N30" s="14" t="inlineStr">
        <is>
          <t>Chef d entreprise</t>
        </is>
      </c>
      <c r="O30" s="15" t="inlineStr">
        <is>
          <t>620</t>
        </is>
      </c>
    </row>
    <row r="31" ht="20" customHeight="1">
      <c r="A31" s="16" t="inlineStr">
        <is>
          <t>PAEA-CCISM-0030</t>
        </is>
      </c>
      <c r="B31" s="16" t="inlineStr">
        <is>
          <t>C40389</t>
        </is>
      </c>
      <c r="C31" s="17" t="inlineStr">
        <is>
          <t>CAVILLAC THIERRY</t>
        </is>
      </c>
      <c r="D31" s="17" t="inlineStr">
        <is>
          <t>RTE STADE MANU URA 98711 PAEA</t>
        </is>
      </c>
      <c r="E31" s="17" t="inlineStr">
        <is>
          <t>Patenté (Personne Physique)</t>
        </is>
      </c>
      <c r="F31" s="17" t="inlineStr">
        <is>
          <t>Patenté</t>
        </is>
      </c>
      <c r="G31" s="16" t="inlineStr">
        <is>
          <t>5610C</t>
        </is>
      </c>
      <c r="H31" s="16" t="inlineStr">
        <is>
          <t>C</t>
        </is>
      </c>
      <c r="I31" s="17" t="inlineStr">
        <is>
          <t>Commerce</t>
        </is>
      </c>
      <c r="J31" s="18" t="n">
        <v>0</v>
      </c>
      <c r="K31" s="18" t="n">
        <v>1</v>
      </c>
      <c r="L31" s="17" t="inlineStr">
        <is>
          <t>17 1400 A</t>
        </is>
      </c>
      <c r="M31" s="17" t="inlineStr">
        <is>
          <t>M CAVILLAC THIERRY</t>
        </is>
      </c>
      <c r="N31" s="17" t="inlineStr">
        <is>
          <t>Chef d entreprise</t>
        </is>
      </c>
      <c r="O31" s="18" t="inlineStr">
        <is>
          <t>629</t>
        </is>
      </c>
    </row>
    <row r="32" ht="20" customHeight="1">
      <c r="A32" s="13" t="inlineStr">
        <is>
          <t>PAEA-CCISM-0031</t>
        </is>
      </c>
      <c r="B32" s="13" t="inlineStr">
        <is>
          <t>637868</t>
        </is>
      </c>
      <c r="C32" s="14" t="inlineStr">
        <is>
          <t>CHAN NEE BENNETT VAITIARE</t>
        </is>
      </c>
      <c r="D32" s="14" t="inlineStr">
        <is>
          <t>APRÈS DISTILLERIE AVATEA 98711 PAEA</t>
        </is>
      </c>
      <c r="E32" s="14" t="inlineStr">
        <is>
          <t>Patenté (Personne Physique)</t>
        </is>
      </c>
      <c r="F32" s="14" t="inlineStr">
        <is>
          <t>Patenté</t>
        </is>
      </c>
      <c r="G32" s="13" t="inlineStr">
        <is>
          <t>4690Z</t>
        </is>
      </c>
      <c r="H32" s="13" t="inlineStr">
        <is>
          <t>C</t>
        </is>
      </c>
      <c r="I32" s="14" t="inlineStr">
        <is>
          <t>Commerce</t>
        </is>
      </c>
      <c r="J32" s="15" t="n">
        <v>0</v>
      </c>
      <c r="K32" s="15" t="n">
        <v>1</v>
      </c>
      <c r="L32" s="14" t="inlineStr">
        <is>
          <t>21 2792 A</t>
        </is>
      </c>
      <c r="M32" s="14" t="inlineStr">
        <is>
          <t>Mme CHAN (Née BENNETT) VAITIARE</t>
        </is>
      </c>
      <c r="N32" s="14" t="inlineStr">
        <is>
          <t>Chef d entreprise</t>
        </is>
      </c>
      <c r="O32" s="15" t="inlineStr">
        <is>
          <t>660</t>
        </is>
      </c>
    </row>
    <row r="33" ht="20" customHeight="1">
      <c r="A33" s="16" t="inlineStr">
        <is>
          <t>PAEA-CCISM-0032</t>
        </is>
      </c>
      <c r="B33" s="16" t="inlineStr">
        <is>
          <t>973230</t>
        </is>
      </c>
      <c r="C33" s="17" t="inlineStr">
        <is>
          <t>CHEUNG ANNABELLA</t>
        </is>
      </c>
      <c r="D33" s="17" t="inlineStr">
        <is>
          <t>QTIER TERIITEHAU 98711 PAEA</t>
        </is>
      </c>
      <c r="E33" s="17" t="inlineStr">
        <is>
          <t>Patenté (Personne Physique)</t>
        </is>
      </c>
      <c r="F33" s="17" t="inlineStr">
        <is>
          <t>Patenté</t>
        </is>
      </c>
      <c r="G33" s="16" t="inlineStr">
        <is>
          <t>4799B</t>
        </is>
      </c>
      <c r="H33" s="16" t="inlineStr">
        <is>
          <t>C</t>
        </is>
      </c>
      <c r="I33" s="17" t="inlineStr">
        <is>
          <t>Commerce</t>
        </is>
      </c>
      <c r="J33" s="18" t="n">
        <v>0</v>
      </c>
      <c r="K33" s="18" t="n">
        <v>1</v>
      </c>
      <c r="L33" s="17" t="inlineStr">
        <is>
          <t>20 2117 A</t>
        </is>
      </c>
      <c r="M33" s="17" t="inlineStr">
        <is>
          <t>Mme CHEUNG ANNABELLA</t>
        </is>
      </c>
      <c r="N33" s="17" t="inlineStr">
        <is>
          <t>Chef d entreprise</t>
        </is>
      </c>
      <c r="O33" s="18" t="inlineStr">
        <is>
          <t>733</t>
        </is>
      </c>
    </row>
    <row r="34" ht="20" customHeight="1">
      <c r="A34" s="13" t="inlineStr">
        <is>
          <t>PAEA-CCISM-0033</t>
        </is>
      </c>
      <c r="B34" s="13" t="inlineStr">
        <is>
          <t>F50167</t>
        </is>
      </c>
      <c r="C34" s="14" t="inlineStr">
        <is>
          <t>CHEZ DONDON GRILL</t>
        </is>
      </c>
      <c r="D34" s="14" t="inlineStr">
        <is>
          <t>PAPEHUE 98711 PAEA</t>
        </is>
      </c>
      <c r="E34" s="14" t="inlineStr">
        <is>
          <t>SARL Unipersonnelle</t>
        </is>
      </c>
      <c r="F34" s="14" t="inlineStr">
        <is>
          <t>Société</t>
        </is>
      </c>
      <c r="G34" s="13" t="inlineStr">
        <is>
          <t>5610C</t>
        </is>
      </c>
      <c r="H34" s="13" t="inlineStr">
        <is>
          <t>C</t>
        </is>
      </c>
      <c r="I34" s="14" t="inlineStr">
        <is>
          <t>Commerce</t>
        </is>
      </c>
      <c r="J34" s="15" t="n">
        <v>0</v>
      </c>
      <c r="K34" s="15" t="n">
        <v>1</v>
      </c>
      <c r="L34" s="14" t="inlineStr">
        <is>
          <t>23 286 B</t>
        </is>
      </c>
      <c r="M34" s="14" t="inlineStr">
        <is>
          <t>M MARAETEFAU RAITAE AROUL JEREMIE</t>
        </is>
      </c>
      <c r="N34" s="14" t="inlineStr">
        <is>
          <t>Gérant</t>
        </is>
      </c>
      <c r="O34" s="15" t="inlineStr">
        <is>
          <t>744</t>
        </is>
      </c>
    </row>
    <row r="35" ht="20" customHeight="1">
      <c r="A35" s="16" t="inlineStr">
        <is>
          <t>PAEA-CCISM-0034</t>
        </is>
      </c>
      <c r="B35" s="16" t="inlineStr">
        <is>
          <t>E47173</t>
        </is>
      </c>
      <c r="C35" s="17" t="inlineStr">
        <is>
          <t>CHOLEZ MAXIME RAIHAU</t>
        </is>
      </c>
      <c r="D35" s="17" t="inlineStr">
        <is>
          <t>RTE DU LOTISSEMENT SEIGNEUR 98711 PAEA</t>
        </is>
      </c>
      <c r="E35" s="17" t="inlineStr">
        <is>
          <t>Patenté (Personne Physique)</t>
        </is>
      </c>
      <c r="F35" s="17" t="inlineStr">
        <is>
          <t>Patenté</t>
        </is>
      </c>
      <c r="G35" s="16" t="inlineStr">
        <is>
          <t>4690Z</t>
        </is>
      </c>
      <c r="H35" s="16" t="inlineStr">
        <is>
          <t>C</t>
        </is>
      </c>
      <c r="I35" s="17" t="inlineStr">
        <is>
          <t>Commerce</t>
        </is>
      </c>
      <c r="J35" s="18" t="n">
        <v>3</v>
      </c>
      <c r="K35" s="18" t="n">
        <v>1</v>
      </c>
      <c r="L35" s="17" t="inlineStr">
        <is>
          <t>21 2718 A</t>
        </is>
      </c>
      <c r="M35" s="17" t="inlineStr">
        <is>
          <t>M CHOLEZ MAXIME RAIHAU</t>
        </is>
      </c>
      <c r="N35" s="17" t="inlineStr">
        <is>
          <t>Chef d entreprise</t>
        </is>
      </c>
      <c r="O35" s="18" t="inlineStr">
        <is>
          <t>781</t>
        </is>
      </c>
    </row>
    <row r="36" ht="20" customHeight="1">
      <c r="A36" s="13" t="inlineStr">
        <is>
          <t>PAEA-CCISM-0035</t>
        </is>
      </c>
      <c r="B36" s="13" t="inlineStr">
        <is>
          <t>D64049</t>
        </is>
      </c>
      <c r="C36" s="14" t="inlineStr">
        <is>
          <t>CHONG AYOU HITIMARAMA KELLY</t>
        </is>
      </c>
      <c r="D36" s="14" t="inlineStr">
        <is>
          <t>41 RTE LOTISSEMENT TEHAUPARU 98711 PAEA</t>
        </is>
      </c>
      <c r="E36" s="14" t="inlineStr">
        <is>
          <t>Patenté (Personne Physique)</t>
        </is>
      </c>
      <c r="F36" s="14" t="inlineStr">
        <is>
          <t>Patenté</t>
        </is>
      </c>
      <c r="G36" s="13" t="inlineStr">
        <is>
          <t>4799B</t>
        </is>
      </c>
      <c r="H36" s="13" t="inlineStr">
        <is>
          <t>C</t>
        </is>
      </c>
      <c r="I36" s="14" t="inlineStr">
        <is>
          <t>Commerce</t>
        </is>
      </c>
      <c r="J36" s="15" t="n">
        <v>0</v>
      </c>
      <c r="K36" s="15" t="n">
        <v>1</v>
      </c>
      <c r="L36" s="14" t="inlineStr">
        <is>
          <t>20 684 A</t>
        </is>
      </c>
      <c r="M36" s="14" t="inlineStr">
        <is>
          <t>M CHONG AYOU HITIMARAMA KELLY</t>
        </is>
      </c>
      <c r="N36" s="14" t="inlineStr">
        <is>
          <t>Chef d entreprise</t>
        </is>
      </c>
      <c r="O36" s="15" t="inlineStr">
        <is>
          <t>785</t>
        </is>
      </c>
    </row>
    <row r="37" ht="20" customHeight="1">
      <c r="A37" s="16" t="inlineStr">
        <is>
          <t>PAEA-CCISM-0036</t>
        </is>
      </c>
      <c r="B37" s="16" t="inlineStr">
        <is>
          <t>938290</t>
        </is>
      </c>
      <c r="C37" s="17" t="inlineStr">
        <is>
          <t>CLEMENT VINCENT GERARD MARTIN</t>
        </is>
      </c>
      <c r="D37" s="17" t="inlineStr">
        <is>
          <t>PAEA PK 20.600 C/MER - TERRAIN TIAITIF 98711 PAEA</t>
        </is>
      </c>
      <c r="E37" s="17" t="inlineStr">
        <is>
          <t>Patenté (Personne Physique)</t>
        </is>
      </c>
      <c r="F37" s="17" t="inlineStr">
        <is>
          <t>Patenté</t>
        </is>
      </c>
      <c r="G37" s="16" t="inlineStr">
        <is>
          <t>5610C</t>
        </is>
      </c>
      <c r="H37" s="16" t="inlineStr">
        <is>
          <t>C</t>
        </is>
      </c>
      <c r="I37" s="17" t="inlineStr">
        <is>
          <t>Commerce</t>
        </is>
      </c>
      <c r="J37" s="18" t="n">
        <v>1</v>
      </c>
      <c r="K37" s="18" t="n">
        <v>1</v>
      </c>
      <c r="L37" s="17" t="inlineStr">
        <is>
          <t>10 356 A</t>
        </is>
      </c>
      <c r="M37" s="17" t="inlineStr">
        <is>
          <t>M CLEMENT VINCENT GERARD MARTIN</t>
        </is>
      </c>
      <c r="N37" s="17" t="inlineStr">
        <is>
          <t>Chef d entreprise</t>
        </is>
      </c>
      <c r="O37" s="18" t="inlineStr">
        <is>
          <t>836</t>
        </is>
      </c>
    </row>
    <row r="38" ht="20" customHeight="1">
      <c r="A38" s="13" t="inlineStr">
        <is>
          <t>PAEA-CCISM-0037</t>
        </is>
      </c>
      <c r="B38" s="13" t="inlineStr">
        <is>
          <t>923466</t>
        </is>
      </c>
      <c r="C38" s="14" t="inlineStr">
        <is>
          <t>COOPERATIVE PAHIAREPO NUI RAVA'A I</t>
        </is>
      </c>
      <c r="D38" s="14" t="inlineStr">
        <is>
          <t>PORT DE PECHE - PAHIAREPO 98711 PAEA</t>
        </is>
      </c>
      <c r="E38" s="14" t="inlineStr">
        <is>
          <t>Coopérative</t>
        </is>
      </c>
      <c r="F38" s="14" t="inlineStr">
        <is>
          <t>Société</t>
        </is>
      </c>
      <c r="G38" s="13" t="inlineStr">
        <is>
          <t>4617A</t>
        </is>
      </c>
      <c r="H38" s="13" t="inlineStr">
        <is>
          <t>C</t>
        </is>
      </c>
      <c r="I38" s="14" t="inlineStr">
        <is>
          <t>Commerce</t>
        </is>
      </c>
      <c r="J38" s="15" t="n">
        <v>0</v>
      </c>
      <c r="K38" s="15" t="n">
        <v>1</v>
      </c>
      <c r="L38" s="14" t="inlineStr">
        <is>
          <t>10 68 B</t>
        </is>
      </c>
      <c r="M38" s="14" t="inlineStr">
        <is>
          <t>M DUVAL DARREL TERIITEVAEARA</t>
        </is>
      </c>
      <c r="N38" s="14" t="inlineStr">
        <is>
          <t>Autre</t>
        </is>
      </c>
      <c r="O38" s="15" t="inlineStr">
        <is>
          <t>902</t>
        </is>
      </c>
    </row>
    <row r="39" ht="20" customHeight="1">
      <c r="A39" s="16" t="inlineStr">
        <is>
          <t>PAEA-CCISM-0038</t>
        </is>
      </c>
      <c r="B39" s="16" t="inlineStr">
        <is>
          <t>E12300</t>
        </is>
      </c>
      <c r="C39" s="17" t="inlineStr">
        <is>
          <t>DELMAS RICHARD</t>
        </is>
      </c>
      <c r="D39" s="17" t="inlineStr">
        <is>
          <t>RTE RESIDENCE MANAVA LOT 24 98711 PAEA</t>
        </is>
      </c>
      <c r="E39" s="17" t="inlineStr">
        <is>
          <t>Patenté (Personne Physique)</t>
        </is>
      </c>
      <c r="F39" s="17" t="inlineStr">
        <is>
          <t>Patenté</t>
        </is>
      </c>
      <c r="G39" s="16" t="inlineStr">
        <is>
          <t>4789Z</t>
        </is>
      </c>
      <c r="H39" s="16" t="inlineStr">
        <is>
          <t>C</t>
        </is>
      </c>
      <c r="I39" s="17" t="inlineStr">
        <is>
          <t>Commerce</t>
        </is>
      </c>
      <c r="J39" s="18" t="n">
        <v>0</v>
      </c>
      <c r="K39" s="18" t="n">
        <v>1</v>
      </c>
      <c r="L39" s="17" t="inlineStr">
        <is>
          <t>21 395 A</t>
        </is>
      </c>
      <c r="M39" s="17" t="inlineStr">
        <is>
          <t>M DELMAS RICHARD</t>
        </is>
      </c>
      <c r="N39" s="17" t="inlineStr">
        <is>
          <t>Chef d entreprise</t>
        </is>
      </c>
      <c r="O39" s="18" t="inlineStr">
        <is>
          <t>1015</t>
        </is>
      </c>
    </row>
    <row r="40" ht="20" customHeight="1">
      <c r="A40" s="13" t="inlineStr">
        <is>
          <t>PAEA-CCISM-0039</t>
        </is>
      </c>
      <c r="B40" s="13" t="inlineStr">
        <is>
          <t>680298</t>
        </is>
      </c>
      <c r="C40" s="14" t="inlineStr">
        <is>
          <t>DELORD NEE CHEUNG TETU</t>
        </is>
      </c>
      <c r="D40" s="14" t="inlineStr">
        <is>
          <t>PAEA PK 20.500 C/MONT 98711 PAEA</t>
        </is>
      </c>
      <c r="E40" s="14" t="inlineStr">
        <is>
          <t>Patenté (Personne Physique)</t>
        </is>
      </c>
      <c r="F40" s="14" t="inlineStr">
        <is>
          <t>Patenté</t>
        </is>
      </c>
      <c r="G40" s="13" t="inlineStr">
        <is>
          <t>5610C</t>
        </is>
      </c>
      <c r="H40" s="13" t="inlineStr">
        <is>
          <t>C</t>
        </is>
      </c>
      <c r="I40" s="14" t="inlineStr">
        <is>
          <t>Commerce</t>
        </is>
      </c>
      <c r="J40" s="15" t="n">
        <v>0</v>
      </c>
      <c r="K40" s="15" t="n">
        <v>1</v>
      </c>
      <c r="L40" s="14" t="inlineStr">
        <is>
          <t>44287 A</t>
        </is>
      </c>
      <c r="M40" s="14" t="inlineStr">
        <is>
          <t>Mme DELORD (Née CHEUNG) TETU</t>
        </is>
      </c>
      <c r="N40" s="14" t="inlineStr">
        <is>
          <t>Chef d entreprise</t>
        </is>
      </c>
      <c r="O40" s="15" t="inlineStr">
        <is>
          <t>1018</t>
        </is>
      </c>
    </row>
    <row r="41" ht="20" customHeight="1">
      <c r="A41" s="16" t="inlineStr">
        <is>
          <t>PAEA-CCISM-0040</t>
        </is>
      </c>
      <c r="B41" s="16" t="inlineStr">
        <is>
          <t>F10096</t>
        </is>
      </c>
      <c r="C41" s="17" t="inlineStr">
        <is>
          <t>DERRAIN CATHERINE</t>
        </is>
      </c>
      <c r="D41" s="17" t="inlineStr">
        <is>
          <t>(SERVITUDE VAINATO). 98711 PAEA</t>
        </is>
      </c>
      <c r="E41" s="17" t="inlineStr">
        <is>
          <t>Patenté (Personne Physique)</t>
        </is>
      </c>
      <c r="F41" s="17" t="inlineStr">
        <is>
          <t>Patenté</t>
        </is>
      </c>
      <c r="G41" s="16" t="inlineStr">
        <is>
          <t>4799A</t>
        </is>
      </c>
      <c r="H41" s="16" t="inlineStr">
        <is>
          <t>C</t>
        </is>
      </c>
      <c r="I41" s="17" t="inlineStr">
        <is>
          <t>Commerce</t>
        </is>
      </c>
      <c r="J41" s="18" t="n">
        <v>0</v>
      </c>
      <c r="K41" s="18" t="n">
        <v>1</v>
      </c>
      <c r="L41" s="17" t="inlineStr">
        <is>
          <t>22 3437 A</t>
        </is>
      </c>
      <c r="M41" s="17" t="inlineStr">
        <is>
          <t>Mme DERRAIN CATHERINE</t>
        </is>
      </c>
      <c r="N41" s="17" t="inlineStr">
        <is>
          <t>Chef d entreprise</t>
        </is>
      </c>
      <c r="O41" s="18" t="inlineStr">
        <is>
          <t>1026</t>
        </is>
      </c>
    </row>
    <row r="42" ht="20" customHeight="1">
      <c r="A42" s="13" t="inlineStr">
        <is>
          <t>PAEA-CCISM-0041</t>
        </is>
      </c>
      <c r="B42" s="13" t="inlineStr">
        <is>
          <t>C11869</t>
        </is>
      </c>
      <c r="C42" s="14" t="inlineStr">
        <is>
          <t>DEVOS BRIGITTE MÉLANCOLIE</t>
        </is>
      </c>
      <c r="D42" s="14" t="inlineStr">
        <is>
          <t>VILLA VAHITUA 98711 PAEA</t>
        </is>
      </c>
      <c r="E42" s="14" t="inlineStr">
        <is>
          <t>Patenté (Personne Physique)</t>
        </is>
      </c>
      <c r="F42" s="14" t="inlineStr">
        <is>
          <t>Patenté</t>
        </is>
      </c>
      <c r="G42" s="13" t="inlineStr">
        <is>
          <t>4690Z</t>
        </is>
      </c>
      <c r="H42" s="13" t="inlineStr">
        <is>
          <t>C</t>
        </is>
      </c>
      <c r="I42" s="14" t="inlineStr">
        <is>
          <t>Commerce</t>
        </is>
      </c>
      <c r="J42" s="15" t="n">
        <v>0</v>
      </c>
      <c r="K42" s="15" t="n">
        <v>1</v>
      </c>
      <c r="L42" s="14" t="inlineStr">
        <is>
          <t>16 2377 A</t>
        </is>
      </c>
      <c r="M42" s="14" t="inlineStr">
        <is>
          <t>Mme DEVOS BRIGITTE MÉLANCOLIE</t>
        </is>
      </c>
      <c r="N42" s="14" t="inlineStr">
        <is>
          <t>Chef d entreprise</t>
        </is>
      </c>
      <c r="O42" s="15" t="inlineStr">
        <is>
          <t>1034</t>
        </is>
      </c>
    </row>
    <row r="43" ht="20" customHeight="1">
      <c r="A43" s="16" t="inlineStr">
        <is>
          <t>PAEA-CCISM-0042</t>
        </is>
      </c>
      <c r="B43" s="16" t="inlineStr">
        <is>
          <t>B29822</t>
        </is>
      </c>
      <c r="C43" s="17" t="inlineStr">
        <is>
          <t>EBB-SALMON TEHEA</t>
        </is>
      </c>
      <c r="D43" s="17" t="inlineStr">
        <is>
          <t>SERV VIHIAUARAA 98711 PAEA</t>
        </is>
      </c>
      <c r="E43" s="17" t="inlineStr">
        <is>
          <t>Patenté (Personne Physique)</t>
        </is>
      </c>
      <c r="F43" s="17" t="inlineStr">
        <is>
          <t>Patenté</t>
        </is>
      </c>
      <c r="G43" s="16" t="inlineStr">
        <is>
          <t>4781Z</t>
        </is>
      </c>
      <c r="H43" s="16" t="inlineStr">
        <is>
          <t>C</t>
        </is>
      </c>
      <c r="I43" s="17" t="inlineStr">
        <is>
          <t>Commerce</t>
        </is>
      </c>
      <c r="J43" s="18" t="n">
        <v>0</v>
      </c>
      <c r="K43" s="18" t="n">
        <v>1</v>
      </c>
      <c r="L43" s="17" t="inlineStr">
        <is>
          <t>14 2342 A</t>
        </is>
      </c>
      <c r="M43" s="17" t="inlineStr">
        <is>
          <t>Mme EBB-SALMON TEHEA</t>
        </is>
      </c>
      <c r="N43" s="17" t="inlineStr">
        <is>
          <t>Chef d entreprise</t>
        </is>
      </c>
      <c r="O43" s="18" t="inlineStr">
        <is>
          <t>1110</t>
        </is>
      </c>
    </row>
    <row r="44" ht="20" customHeight="1">
      <c r="A44" s="13" t="inlineStr">
        <is>
          <t>PAEA-CCISM-0043</t>
        </is>
      </c>
      <c r="B44" s="13" t="inlineStr">
        <is>
          <t>B24278</t>
        </is>
      </c>
      <c r="C44" s="14" t="inlineStr">
        <is>
          <t>ELLARD HEREATA PATRICIA</t>
        </is>
      </c>
      <c r="D44" s="14" t="inlineStr">
        <is>
          <t>RESIDENCE LES JARDINS DE PAEA LOT 51 98711 PAEA</t>
        </is>
      </c>
      <c r="E44" s="14" t="inlineStr">
        <is>
          <t>Patenté (Personne Physique)</t>
        </is>
      </c>
      <c r="F44" s="14" t="inlineStr">
        <is>
          <t>Patenté</t>
        </is>
      </c>
      <c r="G44" s="13" t="inlineStr">
        <is>
          <t>4690Z</t>
        </is>
      </c>
      <c r="H44" s="13" t="inlineStr">
        <is>
          <t>C</t>
        </is>
      </c>
      <c r="I44" s="14" t="inlineStr">
        <is>
          <t>Commerce</t>
        </is>
      </c>
      <c r="J44" s="15" t="n">
        <v>1</v>
      </c>
      <c r="K44" s="15" t="n">
        <v>1</v>
      </c>
      <c r="L44" s="14" t="inlineStr">
        <is>
          <t>21 2111 A</t>
        </is>
      </c>
      <c r="M44" s="14" t="inlineStr">
        <is>
          <t>Mme ELLARD HEREATA PATRICIA</t>
        </is>
      </c>
      <c r="N44" s="14" t="inlineStr">
        <is>
          <t>Chef d entreprise</t>
        </is>
      </c>
      <c r="O44" s="15" t="inlineStr">
        <is>
          <t>1132</t>
        </is>
      </c>
    </row>
    <row r="45" ht="20" customHeight="1">
      <c r="A45" s="16" t="inlineStr">
        <is>
          <t>PAEA-CCISM-0044</t>
        </is>
      </c>
      <c r="B45" s="16" t="inlineStr">
        <is>
          <t>E48197</t>
        </is>
      </c>
      <c r="C45" s="17" t="inlineStr">
        <is>
          <t>E-TOA</t>
        </is>
      </c>
      <c r="D45" s="17" t="inlineStr">
        <is>
          <t>29 QUARTIER VAIATU 98711 PAEA</t>
        </is>
      </c>
      <c r="E45" s="17" t="inlineStr">
        <is>
          <t>SARL</t>
        </is>
      </c>
      <c r="F45" s="17" t="inlineStr">
        <is>
          <t>Société</t>
        </is>
      </c>
      <c r="G45" s="16" t="inlineStr">
        <is>
          <t>4791A</t>
        </is>
      </c>
      <c r="H45" s="16" t="inlineStr">
        <is>
          <t>C</t>
        </is>
      </c>
      <c r="I45" s="17" t="inlineStr">
        <is>
          <t>Commerce</t>
        </is>
      </c>
      <c r="J45" s="18" t="n">
        <v>1</v>
      </c>
      <c r="K45" s="18" t="n">
        <v>1</v>
      </c>
      <c r="L45" s="17" t="inlineStr">
        <is>
          <t>21 352 A</t>
        </is>
      </c>
      <c r="M45" s="17" t="inlineStr">
        <is>
          <t>M TOROMONA MICHAEL</t>
        </is>
      </c>
      <c r="N45" s="17" t="inlineStr">
        <is>
          <t>Gérant</t>
        </is>
      </c>
      <c r="O45" s="18" t="inlineStr">
        <is>
          <t>1171</t>
        </is>
      </c>
    </row>
    <row r="46" ht="20" customHeight="1">
      <c r="A46" s="13" t="inlineStr">
        <is>
          <t>PAEA-CCISM-0045</t>
        </is>
      </c>
      <c r="B46" s="13" t="inlineStr">
        <is>
          <t>A69234</t>
        </is>
      </c>
      <c r="C46" s="14" t="inlineStr">
        <is>
          <t>FAAPU AGRO</t>
        </is>
      </c>
      <c r="D46" s="14" t="inlineStr">
        <is>
          <t>SERVITUDE CHARLES 98711 PAEA</t>
        </is>
      </c>
      <c r="E46" s="14" t="inlineStr">
        <is>
          <t>SARL</t>
        </is>
      </c>
      <c r="F46" s="14" t="inlineStr">
        <is>
          <t>Société</t>
        </is>
      </c>
      <c r="G46" s="13" t="inlineStr">
        <is>
          <t>4799B</t>
        </is>
      </c>
      <c r="H46" s="13" t="inlineStr">
        <is>
          <t>C</t>
        </is>
      </c>
      <c r="I46" s="14" t="inlineStr">
        <is>
          <t>Commerce</t>
        </is>
      </c>
      <c r="J46" s="15" t="n">
        <v>0</v>
      </c>
      <c r="K46" s="15" t="n">
        <v>1</v>
      </c>
      <c r="L46" s="14" t="inlineStr">
        <is>
          <t>13 126 B</t>
        </is>
      </c>
      <c r="M46" s="14" t="inlineStr">
        <is>
          <t>M FROUGE GEORGES</t>
        </is>
      </c>
      <c r="N46" s="14" t="inlineStr">
        <is>
          <t>Gérant</t>
        </is>
      </c>
      <c r="O46" s="15" t="inlineStr">
        <is>
          <t>1244</t>
        </is>
      </c>
    </row>
    <row r="47" ht="20" customHeight="1">
      <c r="A47" s="16" t="inlineStr">
        <is>
          <t>PAEA-CCISM-0046</t>
        </is>
      </c>
      <c r="B47" s="16" t="inlineStr">
        <is>
          <t>B41165</t>
        </is>
      </c>
      <c r="C47" s="17" t="inlineStr">
        <is>
          <t>FAREURA BRENDA</t>
        </is>
      </c>
      <c r="D47" s="17" t="inlineStr">
        <is>
          <t>SERV TAHUNA 98711 PAEA</t>
        </is>
      </c>
      <c r="E47" s="17" t="inlineStr">
        <is>
          <t>Patenté (Personne Physique)</t>
        </is>
      </c>
      <c r="F47" s="17" t="inlineStr">
        <is>
          <t>Patenté</t>
        </is>
      </c>
      <c r="G47" s="16" t="inlineStr">
        <is>
          <t>4781Z</t>
        </is>
      </c>
      <c r="H47" s="16" t="inlineStr">
        <is>
          <t>C</t>
        </is>
      </c>
      <c r="I47" s="17" t="inlineStr">
        <is>
          <t>Commerce</t>
        </is>
      </c>
      <c r="J47" s="18" t="n">
        <v>0</v>
      </c>
      <c r="K47" s="18" t="n">
        <v>1</v>
      </c>
      <c r="L47" s="17" t="inlineStr">
        <is>
          <t>15 592 A</t>
        </is>
      </c>
      <c r="M47" s="17" t="inlineStr">
        <is>
          <t>Mme FAREURA BRENDA</t>
        </is>
      </c>
      <c r="N47" s="17" t="inlineStr">
        <is>
          <t>Chef d entreprise</t>
        </is>
      </c>
      <c r="O47" s="18" t="inlineStr">
        <is>
          <t>1299</t>
        </is>
      </c>
    </row>
    <row r="48" ht="20" customHeight="1">
      <c r="A48" s="13" t="inlineStr">
        <is>
          <t>PAEA-CCISM-0047</t>
        </is>
      </c>
      <c r="B48" s="13" t="inlineStr">
        <is>
          <t>C02926</t>
        </is>
      </c>
      <c r="C48" s="14" t="inlineStr">
        <is>
          <t>FAUATIA PAUL TERII</t>
        </is>
      </c>
      <c r="D48" s="14" t="inlineStr">
        <is>
          <t>RTE DE LA VALLEE OROFERO LOTIS MARAETETUA LOT 7 98711 PAEA</t>
        </is>
      </c>
      <c r="E48" s="14" t="inlineStr">
        <is>
          <t>Patenté (Personne Physique)</t>
        </is>
      </c>
      <c r="F48" s="14" t="inlineStr">
        <is>
          <t>Patenté</t>
        </is>
      </c>
      <c r="G48" s="13" t="inlineStr">
        <is>
          <t>4789Z</t>
        </is>
      </c>
      <c r="H48" s="13" t="inlineStr">
        <is>
          <t>C</t>
        </is>
      </c>
      <c r="I48" s="14" t="inlineStr">
        <is>
          <t>Commerce</t>
        </is>
      </c>
      <c r="J48" s="15" t="n">
        <v>0</v>
      </c>
      <c r="K48" s="15" t="n">
        <v>1</v>
      </c>
      <c r="L48" s="14" t="inlineStr">
        <is>
          <t>16 1797 A</t>
        </is>
      </c>
      <c r="M48" s="14" t="inlineStr">
        <is>
          <t>M FAUATIA PAUL TERII</t>
        </is>
      </c>
      <c r="N48" s="14" t="inlineStr">
        <is>
          <t>Chef d entreprise</t>
        </is>
      </c>
      <c r="O48" s="15" t="inlineStr">
        <is>
          <t>1309</t>
        </is>
      </c>
    </row>
    <row r="49" ht="20" customHeight="1">
      <c r="A49" s="16" t="inlineStr">
        <is>
          <t>PAEA-CCISM-0048</t>
        </is>
      </c>
      <c r="B49" s="16" t="inlineStr">
        <is>
          <t>B25317</t>
        </is>
      </c>
      <c r="C49" s="17" t="inlineStr">
        <is>
          <t>FINET ANTOINE</t>
        </is>
      </c>
      <c r="D49" s="17" t="inlineStr">
        <is>
          <t>98711 PAEA</t>
        </is>
      </c>
      <c r="E49" s="17" t="inlineStr">
        <is>
          <t>Patenté (Personne Physique)</t>
        </is>
      </c>
      <c r="F49" s="17" t="inlineStr">
        <is>
          <t>Patenté</t>
        </is>
      </c>
      <c r="G49" s="16" t="inlineStr">
        <is>
          <t>4791A</t>
        </is>
      </c>
      <c r="H49" s="16" t="inlineStr">
        <is>
          <t>C</t>
        </is>
      </c>
      <c r="I49" s="17" t="inlineStr">
        <is>
          <t>Commerce</t>
        </is>
      </c>
      <c r="J49" s="18" t="n">
        <v>0</v>
      </c>
      <c r="K49" s="18" t="n">
        <v>1</v>
      </c>
      <c r="L49" s="17" t="inlineStr">
        <is>
          <t>21 2421 A</t>
        </is>
      </c>
      <c r="M49" s="17" t="inlineStr">
        <is>
          <t>M FINET ANTOINE</t>
        </is>
      </c>
      <c r="N49" s="17" t="inlineStr">
        <is>
          <t>Chef d entreprise</t>
        </is>
      </c>
      <c r="O49" s="18" t="inlineStr">
        <is>
          <t>1344</t>
        </is>
      </c>
    </row>
    <row r="50" ht="20" customHeight="1">
      <c r="A50" s="13" t="inlineStr">
        <is>
          <t>PAEA-CCISM-0049</t>
        </is>
      </c>
      <c r="B50" s="13" t="inlineStr">
        <is>
          <t>471821</t>
        </is>
      </c>
      <c r="C50" s="14" t="inlineStr">
        <is>
          <t>FLEUR NEE CABAS CORINE BETTYNA</t>
        </is>
      </c>
      <c r="D50" s="14" t="inlineStr">
        <is>
          <t>PK 21.9 C/MONT OROFERO 98711 PAEA</t>
        </is>
      </c>
      <c r="E50" s="14" t="inlineStr">
        <is>
          <t>Patenté (Personne Physique)</t>
        </is>
      </c>
      <c r="F50" s="14" t="inlineStr">
        <is>
          <t>Patenté</t>
        </is>
      </c>
      <c r="G50" s="13" t="inlineStr">
        <is>
          <t>5610C</t>
        </is>
      </c>
      <c r="H50" s="13" t="inlineStr">
        <is>
          <t>C</t>
        </is>
      </c>
      <c r="I50" s="14" t="inlineStr">
        <is>
          <t>Commerce</t>
        </is>
      </c>
      <c r="J50" s="15" t="n">
        <v>0</v>
      </c>
      <c r="K50" s="15" t="n">
        <v>1</v>
      </c>
      <c r="L50" s="14" t="inlineStr">
        <is>
          <t>20 2901 A</t>
        </is>
      </c>
      <c r="M50" s="14" t="inlineStr">
        <is>
          <t>Mme FLEUR (Née CABAS) CORINE BETTYNA</t>
        </is>
      </c>
      <c r="N50" s="14" t="inlineStr">
        <is>
          <t>Chef d entreprise</t>
        </is>
      </c>
      <c r="O50" s="15" t="inlineStr">
        <is>
          <t>1355</t>
        </is>
      </c>
    </row>
    <row r="51" ht="20" customHeight="1">
      <c r="A51" s="16" t="inlineStr">
        <is>
          <t>PAEA-CCISM-0050</t>
        </is>
      </c>
      <c r="B51" s="16" t="inlineStr">
        <is>
          <t>662551</t>
        </is>
      </c>
      <c r="C51" s="17" t="inlineStr">
        <is>
          <t>FLOHR DOREEN</t>
        </is>
      </c>
      <c r="D51" s="17" t="inlineStr">
        <is>
          <t>QUARTIER FAGNEAUX PK 23,2 COTE MONTAGNE 98711 PAEA</t>
        </is>
      </c>
      <c r="E51" s="17" t="inlineStr">
        <is>
          <t>Patenté (Personne Physique)</t>
        </is>
      </c>
      <c r="F51" s="17" t="inlineStr">
        <is>
          <t>Patenté</t>
        </is>
      </c>
      <c r="G51" s="16" t="inlineStr">
        <is>
          <t>4799B</t>
        </is>
      </c>
      <c r="H51" s="16" t="inlineStr">
        <is>
          <t>C</t>
        </is>
      </c>
      <c r="I51" s="17" t="inlineStr">
        <is>
          <t>Commerce</t>
        </is>
      </c>
      <c r="J51" s="18" t="n">
        <v>0</v>
      </c>
      <c r="K51" s="18" t="n">
        <v>1</v>
      </c>
      <c r="L51" s="17" t="inlineStr">
        <is>
          <t>20 1037 A</t>
        </is>
      </c>
      <c r="M51" s="17" t="inlineStr">
        <is>
          <t>Mme FLOHR DOREEN</t>
        </is>
      </c>
      <c r="N51" s="17" t="inlineStr">
        <is>
          <t>Chef d entreprise</t>
        </is>
      </c>
      <c r="O51" s="18" t="inlineStr">
        <is>
          <t>1358</t>
        </is>
      </c>
    </row>
    <row r="52" ht="20" customHeight="1">
      <c r="A52" s="13" t="inlineStr">
        <is>
          <t>PAEA-CCISM-0051</t>
        </is>
      </c>
      <c r="B52" s="13" t="inlineStr">
        <is>
          <t>881474</t>
        </is>
      </c>
      <c r="C52" s="14" t="inlineStr">
        <is>
          <t>FLORES WOULLHINGSON</t>
        </is>
      </c>
      <c r="D52" s="14" t="inlineStr">
        <is>
          <t>QUARTIER VAIATU 98711 PAEA</t>
        </is>
      </c>
      <c r="E52" s="14" t="inlineStr">
        <is>
          <t>Patenté (Personne Physique)</t>
        </is>
      </c>
      <c r="F52" s="14" t="inlineStr">
        <is>
          <t>Patenté</t>
        </is>
      </c>
      <c r="G52" s="13" t="inlineStr">
        <is>
          <t>4799A</t>
        </is>
      </c>
      <c r="H52" s="13" t="inlineStr">
        <is>
          <t>C</t>
        </is>
      </c>
      <c r="I52" s="14" t="inlineStr">
        <is>
          <t>Commerce</t>
        </is>
      </c>
      <c r="J52" s="15" t="n">
        <v>0</v>
      </c>
      <c r="K52" s="15" t="n">
        <v>1</v>
      </c>
      <c r="L52" s="14" t="inlineStr">
        <is>
          <t>14 725 A</t>
        </is>
      </c>
      <c r="M52" s="14" t="inlineStr">
        <is>
          <t>M FLORES WOULLHINGSON</t>
        </is>
      </c>
      <c r="N52" s="14" t="inlineStr">
        <is>
          <t>Chef d entreprise</t>
        </is>
      </c>
      <c r="O52" s="15" t="inlineStr">
        <is>
          <t>1369</t>
        </is>
      </c>
    </row>
    <row r="53" ht="20" customHeight="1">
      <c r="A53" s="16" t="inlineStr">
        <is>
          <t>PAEA-CCISM-0052</t>
        </is>
      </c>
      <c r="B53" s="16" t="inlineStr">
        <is>
          <t>F13983</t>
        </is>
      </c>
      <c r="C53" s="17" t="inlineStr">
        <is>
          <t>FREY PATRICK, MICHEL</t>
        </is>
      </c>
      <c r="D53" s="17" t="inlineStr">
        <is>
          <t>98711 PAEA</t>
        </is>
      </c>
      <c r="E53" s="17" t="inlineStr">
        <is>
          <t>Patenté (Personne Physique)</t>
        </is>
      </c>
      <c r="F53" s="17" t="inlineStr">
        <is>
          <t>Patenté</t>
        </is>
      </c>
      <c r="G53" s="16" t="inlineStr">
        <is>
          <t>5621Z</t>
        </is>
      </c>
      <c r="H53" s="16" t="inlineStr">
        <is>
          <t>C</t>
        </is>
      </c>
      <c r="I53" s="17" t="inlineStr">
        <is>
          <t>Commerce</t>
        </is>
      </c>
      <c r="J53" s="18" t="n">
        <v>0</v>
      </c>
      <c r="K53" s="18" t="n">
        <v>1</v>
      </c>
      <c r="L53" s="17" t="inlineStr">
        <is>
          <t>23 2297 A</t>
        </is>
      </c>
      <c r="M53" s="17" t="inlineStr">
        <is>
          <t>Mme FREY PATRICK, MICHEL</t>
        </is>
      </c>
      <c r="N53" s="17" t="inlineStr">
        <is>
          <t>Chef d entreprise</t>
        </is>
      </c>
      <c r="O53" s="18" t="inlineStr">
        <is>
          <t>1413</t>
        </is>
      </c>
    </row>
    <row r="54" ht="20" customHeight="1">
      <c r="A54" s="13" t="inlineStr">
        <is>
          <t>PAEA-CCISM-0053</t>
        </is>
      </c>
      <c r="B54" s="13" t="inlineStr">
        <is>
          <t>C82241</t>
        </is>
      </c>
      <c r="C54" s="14" t="inlineStr">
        <is>
          <t>FROGIER JEAN-PAUL</t>
        </is>
      </c>
      <c r="D54" s="14" t="inlineStr">
        <is>
          <t>RTE DU MARAE ARAHURAHU 98711 PAEA</t>
        </is>
      </c>
      <c r="E54" s="14" t="inlineStr">
        <is>
          <t>Patenté (Personne Physique)</t>
        </is>
      </c>
      <c r="F54" s="14" t="inlineStr">
        <is>
          <t>Patenté</t>
        </is>
      </c>
      <c r="G54" s="13" t="inlineStr">
        <is>
          <t>5610C</t>
        </is>
      </c>
      <c r="H54" s="13" t="inlineStr">
        <is>
          <t>C</t>
        </is>
      </c>
      <c r="I54" s="14" t="inlineStr">
        <is>
          <t>Commerce</t>
        </is>
      </c>
      <c r="J54" s="15" t="n">
        <v>0</v>
      </c>
      <c r="K54" s="15" t="n">
        <v>1</v>
      </c>
      <c r="L54" s="14" t="inlineStr">
        <is>
          <t>18 1210 A</t>
        </is>
      </c>
      <c r="M54" s="14" t="inlineStr">
        <is>
          <t>M FROGIER JEAN-PAUL</t>
        </is>
      </c>
      <c r="N54" s="14" t="inlineStr">
        <is>
          <t>Chef d entreprise</t>
        </is>
      </c>
      <c r="O54" s="15" t="inlineStr">
        <is>
          <t>1418</t>
        </is>
      </c>
    </row>
    <row r="55" ht="20" customHeight="1">
      <c r="A55" s="16" t="inlineStr">
        <is>
          <t>PAEA-CCISM-0054</t>
        </is>
      </c>
      <c r="B55" s="16" t="inlineStr">
        <is>
          <t>D13889</t>
        </is>
      </c>
      <c r="C55" s="17" t="inlineStr">
        <is>
          <t>FUKUOKA YUMIKO</t>
        </is>
      </c>
      <c r="D55" s="17" t="inlineStr">
        <is>
          <t>SERVITUDE PAPEHUE LABORATOIRE 3 98711 PAEA</t>
        </is>
      </c>
      <c r="E55" s="17" t="inlineStr">
        <is>
          <t>Patenté (Personne Physique)</t>
        </is>
      </c>
      <c r="F55" s="17" t="inlineStr">
        <is>
          <t>Patenté</t>
        </is>
      </c>
      <c r="G55" s="16" t="inlineStr">
        <is>
          <t>5621Z</t>
        </is>
      </c>
      <c r="H55" s="16" t="inlineStr">
        <is>
          <t>C</t>
        </is>
      </c>
      <c r="I55" s="17" t="inlineStr">
        <is>
          <t>Commerce</t>
        </is>
      </c>
      <c r="J55" s="18" t="n">
        <v>0</v>
      </c>
      <c r="K55" s="18" t="n">
        <v>1</v>
      </c>
      <c r="L55" s="17" t="inlineStr">
        <is>
          <t>19 1612 A</t>
        </is>
      </c>
      <c r="M55" s="17" t="inlineStr">
        <is>
          <t>Mme FUKUOKA YUMIKO</t>
        </is>
      </c>
      <c r="N55" s="17" t="inlineStr">
        <is>
          <t>Chef d entreprise</t>
        </is>
      </c>
      <c r="O55" s="18" t="inlineStr">
        <is>
          <t>1421</t>
        </is>
      </c>
    </row>
    <row r="56" ht="20" customHeight="1">
      <c r="A56" s="13" t="inlineStr">
        <is>
          <t>PAEA-CCISM-0055</t>
        </is>
      </c>
      <c r="B56" s="13" t="inlineStr">
        <is>
          <t>187823</t>
        </is>
      </c>
      <c r="C56" s="14" t="inlineStr">
        <is>
          <t>GENET NEE ROOMATAAROA ADELE</t>
        </is>
      </c>
      <c r="D56" s="14" t="inlineStr">
        <is>
          <t>N°3 LOT WAIMUNA 98711 PAEA</t>
        </is>
      </c>
      <c r="E56" s="14" t="inlineStr">
        <is>
          <t>Patenté (Personne Physique)</t>
        </is>
      </c>
      <c r="F56" s="14" t="inlineStr">
        <is>
          <t>Patenté</t>
        </is>
      </c>
      <c r="G56" s="13" t="inlineStr">
        <is>
          <t>4771Z</t>
        </is>
      </c>
      <c r="H56" s="13" t="inlineStr">
        <is>
          <t>C</t>
        </is>
      </c>
      <c r="I56" s="14" t="inlineStr">
        <is>
          <t>Commerce</t>
        </is>
      </c>
      <c r="J56" s="15" t="n">
        <v>0</v>
      </c>
      <c r="K56" s="15" t="n">
        <v>1</v>
      </c>
      <c r="L56" s="14" t="inlineStr">
        <is>
          <t>09 713 A</t>
        </is>
      </c>
      <c r="M56" s="14" t="inlineStr">
        <is>
          <t>Mme GENET (Née ROOMATAAROA) ADELE</t>
        </is>
      </c>
      <c r="N56" s="14" t="inlineStr">
        <is>
          <t>Chef d entreprise</t>
        </is>
      </c>
      <c r="O56" s="15" t="inlineStr">
        <is>
          <t>1475</t>
        </is>
      </c>
    </row>
    <row r="57" ht="20" customHeight="1">
      <c r="A57" s="16" t="inlineStr">
        <is>
          <t>PAEA-CCISM-0056</t>
        </is>
      </c>
      <c r="B57" s="16" t="inlineStr">
        <is>
          <t>D06297</t>
        </is>
      </c>
      <c r="C57" s="17" t="inlineStr">
        <is>
          <t>GILLOT ELMIRE YOLINA</t>
        </is>
      </c>
      <c r="D57" s="17" t="inlineStr">
        <is>
          <t>98711 PAEA</t>
        </is>
      </c>
      <c r="E57" s="17" t="inlineStr">
        <is>
          <t>Patenté (Personne Physique)</t>
        </is>
      </c>
      <c r="F57" s="17" t="inlineStr">
        <is>
          <t>Patenté</t>
        </is>
      </c>
      <c r="G57" s="16" t="inlineStr">
        <is>
          <t>4690Z</t>
        </is>
      </c>
      <c r="H57" s="16" t="inlineStr">
        <is>
          <t>C</t>
        </is>
      </c>
      <c r="I57" s="17" t="inlineStr">
        <is>
          <t>Commerce</t>
        </is>
      </c>
      <c r="J57" s="18" t="n">
        <v>0</v>
      </c>
      <c r="K57" s="18" t="n">
        <v>1</v>
      </c>
      <c r="L57" s="17" t="inlineStr">
        <is>
          <t>18 2799 A</t>
        </is>
      </c>
      <c r="M57" s="17" t="inlineStr">
        <is>
          <t>Mme GILLOT ELMIRE YOLINA</t>
        </is>
      </c>
      <c r="N57" s="17" t="inlineStr">
        <is>
          <t>Chef d entreprise</t>
        </is>
      </c>
      <c r="O57" s="18" t="inlineStr">
        <is>
          <t>1486</t>
        </is>
      </c>
    </row>
    <row r="58" ht="20" customHeight="1">
      <c r="A58" s="13" t="inlineStr">
        <is>
          <t>PAEA-CCISM-0057</t>
        </is>
      </c>
      <c r="B58" s="13" t="inlineStr">
        <is>
          <t>E66413</t>
        </is>
      </c>
      <c r="C58" s="14" t="inlineStr">
        <is>
          <t>GILMORE TUHIMANUAU</t>
        </is>
      </c>
      <c r="D58" s="14" t="inlineStr">
        <is>
          <t>QUARTIER MARAA 98711 PAEA</t>
        </is>
      </c>
      <c r="E58" s="14" t="inlineStr">
        <is>
          <t>Patenté (Personne Physique)</t>
        </is>
      </c>
      <c r="F58" s="14" t="inlineStr">
        <is>
          <t>Patenté</t>
        </is>
      </c>
      <c r="G58" s="13" t="inlineStr">
        <is>
          <t>4690Z</t>
        </is>
      </c>
      <c r="H58" s="13" t="inlineStr">
        <is>
          <t>C</t>
        </is>
      </c>
      <c r="I58" s="14" t="inlineStr">
        <is>
          <t>Commerce</t>
        </is>
      </c>
      <c r="J58" s="15" t="n">
        <v>0</v>
      </c>
      <c r="K58" s="15" t="n">
        <v>1</v>
      </c>
      <c r="L58" s="14" t="inlineStr">
        <is>
          <t>22 482 A</t>
        </is>
      </c>
      <c r="M58" s="14" t="inlineStr">
        <is>
          <t>Mme GILMORE TUHIMANUAU</t>
        </is>
      </c>
      <c r="N58" s="14" t="inlineStr">
        <is>
          <t>Chef d entreprise</t>
        </is>
      </c>
      <c r="O58" s="15" t="inlineStr">
        <is>
          <t>1488</t>
        </is>
      </c>
    </row>
    <row r="59" ht="20" customHeight="1">
      <c r="A59" s="16" t="inlineStr">
        <is>
          <t>PAEA-CCISM-0058</t>
        </is>
      </c>
      <c r="B59" s="16" t="inlineStr">
        <is>
          <t>F09965</t>
        </is>
      </c>
      <c r="C59" s="17" t="inlineStr">
        <is>
          <t>GOURMANEL AMANDINE</t>
        </is>
      </c>
      <c r="D59" s="17" t="inlineStr">
        <is>
          <t>98711 PAEA</t>
        </is>
      </c>
      <c r="E59" s="17" t="inlineStr">
        <is>
          <t>Patenté (Personne Physique)</t>
        </is>
      </c>
      <c r="F59" s="17" t="inlineStr">
        <is>
          <t>Patenté</t>
        </is>
      </c>
      <c r="G59" s="16" t="inlineStr">
        <is>
          <t>4690Z</t>
        </is>
      </c>
      <c r="H59" s="16" t="inlineStr">
        <is>
          <t>C</t>
        </is>
      </c>
      <c r="I59" s="17" t="inlineStr">
        <is>
          <t>Commerce</t>
        </is>
      </c>
      <c r="J59" s="18" t="n">
        <v>0</v>
      </c>
      <c r="K59" s="18" t="n">
        <v>1</v>
      </c>
      <c r="L59" s="17" t="inlineStr">
        <is>
          <t>22 3471 A</t>
        </is>
      </c>
      <c r="M59" s="17" t="inlineStr">
        <is>
          <t>Mme GOURMANEL AMANDINE</t>
        </is>
      </c>
      <c r="N59" s="17" t="inlineStr">
        <is>
          <t>Chef d entreprise</t>
        </is>
      </c>
      <c r="O59" s="18" t="inlineStr">
        <is>
          <t>1518</t>
        </is>
      </c>
    </row>
    <row r="60" ht="20" customHeight="1">
      <c r="A60" s="13" t="inlineStr">
        <is>
          <t>PAEA-CCISM-0059</t>
        </is>
      </c>
      <c r="B60" s="13" t="inlineStr">
        <is>
          <t>233825</t>
        </is>
      </c>
      <c r="C60" s="14" t="inlineStr">
        <is>
          <t>GRAFFE NEE TAPEA HAAMOURA</t>
        </is>
      </c>
      <c r="D60" s="14" t="inlineStr">
        <is>
          <t>PK 21 C/MER 98711 PAEA</t>
        </is>
      </c>
      <c r="E60" s="14" t="inlineStr">
        <is>
          <t>Patenté (Personne Physique)</t>
        </is>
      </c>
      <c r="F60" s="14" t="inlineStr">
        <is>
          <t>Patenté</t>
        </is>
      </c>
      <c r="G60" s="13" t="inlineStr">
        <is>
          <t>5610C</t>
        </is>
      </c>
      <c r="H60" s="13" t="inlineStr">
        <is>
          <t>C</t>
        </is>
      </c>
      <c r="I60" s="14" t="inlineStr">
        <is>
          <t>Commerce</t>
        </is>
      </c>
      <c r="J60" s="15" t="n">
        <v>0</v>
      </c>
      <c r="K60" s="15" t="n">
        <v>1</v>
      </c>
      <c r="L60" s="14" t="inlineStr">
        <is>
          <t>11 237 A</t>
        </is>
      </c>
      <c r="M60" s="14" t="inlineStr">
        <is>
          <t>Mme GRAFFE (Née TAPEA) HAAMOURA</t>
        </is>
      </c>
      <c r="N60" s="14" t="inlineStr">
        <is>
          <t>Chef d entreprise</t>
        </is>
      </c>
      <c r="O60" s="15" t="inlineStr">
        <is>
          <t>1523</t>
        </is>
      </c>
    </row>
    <row r="61" ht="20" customHeight="1">
      <c r="A61" s="16" t="inlineStr">
        <is>
          <t>PAEA-CCISM-0060</t>
        </is>
      </c>
      <c r="B61" s="16" t="inlineStr">
        <is>
          <t>B78431</t>
        </is>
      </c>
      <c r="C61" s="17" t="inlineStr">
        <is>
          <t>GRAND TUATAHI</t>
        </is>
      </c>
      <c r="D61" s="17" t="inlineStr">
        <is>
          <t>EN FACE DE L'ECOLE VAIATU 98711 PAEA</t>
        </is>
      </c>
      <c r="E61" s="17" t="inlineStr">
        <is>
          <t>Patenté (Personne Physique)</t>
        </is>
      </c>
      <c r="F61" s="17" t="inlineStr">
        <is>
          <t>Patenté</t>
        </is>
      </c>
      <c r="G61" s="16" t="inlineStr">
        <is>
          <t>5610C</t>
        </is>
      </c>
      <c r="H61" s="16" t="inlineStr">
        <is>
          <t>C</t>
        </is>
      </c>
      <c r="I61" s="17" t="inlineStr">
        <is>
          <t>Commerce</t>
        </is>
      </c>
      <c r="J61" s="18" t="n">
        <v>3</v>
      </c>
      <c r="K61" s="18" t="n">
        <v>1</v>
      </c>
      <c r="L61" s="17" t="inlineStr">
        <is>
          <t>16 158 A</t>
        </is>
      </c>
      <c r="M61" s="17" t="inlineStr">
        <is>
          <t>M GRAND TUATAHI</t>
        </is>
      </c>
      <c r="N61" s="17" t="inlineStr">
        <is>
          <t>Chef d entreprise</t>
        </is>
      </c>
      <c r="O61" s="18" t="inlineStr">
        <is>
          <t>1528</t>
        </is>
      </c>
    </row>
    <row r="62" ht="20" customHeight="1">
      <c r="A62" s="13" t="inlineStr">
        <is>
          <t>PAEA-CCISM-0061</t>
        </is>
      </c>
      <c r="B62" s="13" t="inlineStr">
        <is>
          <t>E08704</t>
        </is>
      </c>
      <c r="C62" s="14" t="inlineStr">
        <is>
          <t>GUYOT TIARENUI</t>
        </is>
      </c>
      <c r="D62" s="14" t="inlineStr">
        <is>
          <t>SERV VAITIARE 1 PK 24,600 CT/MONT 98711 PAEA</t>
        </is>
      </c>
      <c r="E62" s="14" t="inlineStr">
        <is>
          <t>Patenté (Personne Physique)</t>
        </is>
      </c>
      <c r="F62" s="14" t="inlineStr">
        <is>
          <t>Patenté</t>
        </is>
      </c>
      <c r="G62" s="13" t="inlineStr">
        <is>
          <t>4690Z</t>
        </is>
      </c>
      <c r="H62" s="13" t="inlineStr">
        <is>
          <t>C</t>
        </is>
      </c>
      <c r="I62" s="14" t="inlineStr">
        <is>
          <t>Commerce</t>
        </is>
      </c>
      <c r="J62" s="15" t="n">
        <v>0</v>
      </c>
      <c r="K62" s="15" t="n">
        <v>1</v>
      </c>
      <c r="L62" s="14" t="inlineStr">
        <is>
          <t>21 210 A</t>
        </is>
      </c>
      <c r="M62" s="14" t="inlineStr">
        <is>
          <t>Mme GUYOT TIARENUI</t>
        </is>
      </c>
      <c r="N62" s="14" t="inlineStr">
        <is>
          <t>Chef d entreprise</t>
        </is>
      </c>
      <c r="O62" s="15" t="inlineStr">
        <is>
          <t>1579</t>
        </is>
      </c>
    </row>
    <row r="63" ht="20" customHeight="1">
      <c r="A63" s="16" t="inlineStr">
        <is>
          <t>PAEA-CCISM-0062</t>
        </is>
      </c>
      <c r="B63" s="16" t="inlineStr">
        <is>
          <t>406793</t>
        </is>
      </c>
      <c r="C63" s="17" t="inlineStr">
        <is>
          <t>HAMBLIN RAIHAU</t>
        </is>
      </c>
      <c r="D63" s="17" t="inlineStr">
        <is>
          <t>98711 PAEA</t>
        </is>
      </c>
      <c r="E63" s="17" t="inlineStr">
        <is>
          <t>Patenté (Personne Physique)</t>
        </is>
      </c>
      <c r="F63" s="17" t="inlineStr">
        <is>
          <t>Patenté</t>
        </is>
      </c>
      <c r="G63" s="16" t="inlineStr">
        <is>
          <t>4690Z</t>
        </is>
      </c>
      <c r="H63" s="16" t="inlineStr">
        <is>
          <t>C</t>
        </is>
      </c>
      <c r="I63" s="17" t="inlineStr">
        <is>
          <t>Commerce</t>
        </is>
      </c>
      <c r="J63" s="18" t="n">
        <v>0</v>
      </c>
      <c r="K63" s="18" t="n">
        <v>1</v>
      </c>
      <c r="L63" s="17" t="inlineStr">
        <is>
          <t>22 2986 A</t>
        </is>
      </c>
      <c r="M63" s="17" t="inlineStr">
        <is>
          <t>M HAMBLIN RAIHAU</t>
        </is>
      </c>
      <c r="N63" s="17" t="inlineStr">
        <is>
          <t>Chef d entreprise</t>
        </is>
      </c>
      <c r="O63" s="18" t="inlineStr">
        <is>
          <t>1597</t>
        </is>
      </c>
    </row>
    <row r="64" ht="20" customHeight="1">
      <c r="A64" s="13" t="inlineStr">
        <is>
          <t>PAEA-CCISM-0063</t>
        </is>
      </c>
      <c r="B64" s="13" t="inlineStr">
        <is>
          <t>983312</t>
        </is>
      </c>
      <c r="C64" s="14" t="inlineStr">
        <is>
          <t>HAPAIRAI NEE TETURU AMIRIA HAAVAHIA</t>
        </is>
      </c>
      <c r="D64" s="14" t="inlineStr">
        <is>
          <t>PAEA PK 23.400 C/MONT - FANIU 98711 PAEA</t>
        </is>
      </c>
      <c r="E64" s="14" t="inlineStr">
        <is>
          <t>Patenté (Personne Physique)</t>
        </is>
      </c>
      <c r="F64" s="14" t="inlineStr">
        <is>
          <t>Patenté</t>
        </is>
      </c>
      <c r="G64" s="13" t="inlineStr">
        <is>
          <t>4638B</t>
        </is>
      </c>
      <c r="H64" s="13" t="inlineStr">
        <is>
          <t>C</t>
        </is>
      </c>
      <c r="I64" s="14" t="inlineStr">
        <is>
          <t>Commerce</t>
        </is>
      </c>
      <c r="J64" s="15" t="n">
        <v>0</v>
      </c>
      <c r="K64" s="15" t="n">
        <v>1</v>
      </c>
      <c r="L64" s="14" t="inlineStr">
        <is>
          <t>11 771 A</t>
        </is>
      </c>
      <c r="M64" s="14" t="inlineStr">
        <is>
          <t>Mme HAPAIRAI (Née TETURU) AMIRIA HAAVAHIA</t>
        </is>
      </c>
      <c r="N64" s="14" t="inlineStr">
        <is>
          <t>Chef d entreprise</t>
        </is>
      </c>
      <c r="O64" s="15" t="inlineStr">
        <is>
          <t>1618</t>
        </is>
      </c>
    </row>
    <row r="65" ht="20" customHeight="1">
      <c r="A65" s="16" t="inlineStr">
        <is>
          <t>PAEA-CCISM-0064</t>
        </is>
      </c>
      <c r="B65" s="16" t="inlineStr">
        <is>
          <t>B63854</t>
        </is>
      </c>
      <c r="C65" s="17" t="inlineStr">
        <is>
          <t>HAPPY MARKET PAEA</t>
        </is>
      </c>
      <c r="D65" s="17" t="inlineStr">
        <is>
          <t>98711 PAEA</t>
        </is>
      </c>
      <c r="E65" s="17" t="inlineStr">
        <is>
          <t>SARL</t>
        </is>
      </c>
      <c r="F65" s="17" t="inlineStr">
        <is>
          <t>Société</t>
        </is>
      </c>
      <c r="G65" s="16" t="inlineStr">
        <is>
          <t>4711B</t>
        </is>
      </c>
      <c r="H65" s="16" t="inlineStr">
        <is>
          <t>C</t>
        </is>
      </c>
      <c r="I65" s="17" t="inlineStr">
        <is>
          <t>Commerce</t>
        </is>
      </c>
      <c r="J65" s="18" t="n">
        <v>38</v>
      </c>
      <c r="K65" s="18" t="n">
        <v>3</v>
      </c>
      <c r="L65" s="17" t="inlineStr">
        <is>
          <t>15 224 B</t>
        </is>
      </c>
      <c r="M65" s="17" t="inlineStr">
        <is>
          <t>M JIMENEZ STEPHANE ANTOINE</t>
        </is>
      </c>
      <c r="N65" s="17" t="inlineStr">
        <is>
          <t>Gérant</t>
        </is>
      </c>
      <c r="O65" s="18" t="inlineStr">
        <is>
          <t>1628</t>
        </is>
      </c>
    </row>
    <row r="66" ht="20" customHeight="1">
      <c r="A66" s="13" t="inlineStr">
        <is>
          <t>PAEA-CCISM-0065</t>
        </is>
      </c>
      <c r="B66" s="13" t="inlineStr">
        <is>
          <t>E44220</t>
        </is>
      </c>
      <c r="C66" s="14" t="inlineStr">
        <is>
          <t>HAUHIVAHERE</t>
        </is>
      </c>
      <c r="D66" s="14" t="inlineStr">
        <is>
          <t>RTE DU LOTISSEMENT VAITERUPE 98711 PAEA</t>
        </is>
      </c>
      <c r="E66" s="14" t="inlineStr">
        <is>
          <t>SARL</t>
        </is>
      </c>
      <c r="F66" s="14" t="inlineStr">
        <is>
          <t>Société</t>
        </is>
      </c>
      <c r="G66" s="13" t="inlineStr">
        <is>
          <t>4690Z</t>
        </is>
      </c>
      <c r="H66" s="13" t="inlineStr">
        <is>
          <t>C</t>
        </is>
      </c>
      <c r="I66" s="14" t="inlineStr">
        <is>
          <t>Commerce</t>
        </is>
      </c>
      <c r="J66" s="15" t="n">
        <v>0</v>
      </c>
      <c r="K66" s="15" t="n">
        <v>1</v>
      </c>
      <c r="L66" s="14" t="inlineStr">
        <is>
          <t>21 328 B</t>
        </is>
      </c>
      <c r="M66" s="14" t="inlineStr">
        <is>
          <t>Mme HELLEMONT TEURA, KARRIGAN</t>
        </is>
      </c>
      <c r="N66" s="14" t="inlineStr">
        <is>
          <t>Gérant</t>
        </is>
      </c>
      <c r="O66" s="15" t="inlineStr">
        <is>
          <t>1673</t>
        </is>
      </c>
    </row>
    <row r="67" ht="20" customHeight="1">
      <c r="A67" s="16" t="inlineStr">
        <is>
          <t>PAEA-CCISM-0066</t>
        </is>
      </c>
      <c r="B67" s="16" t="inlineStr">
        <is>
          <t>E99083</t>
        </is>
      </c>
      <c r="C67" s="17" t="inlineStr">
        <is>
          <t>HAUMANI DOMINIQUE</t>
        </is>
      </c>
      <c r="D67" s="17" t="inlineStr">
        <is>
          <t>VALLEE OROFERO 98711 PAEA</t>
        </is>
      </c>
      <c r="E67" s="17" t="inlineStr">
        <is>
          <t>Patenté (Personne Physique)</t>
        </is>
      </c>
      <c r="F67" s="17" t="inlineStr">
        <is>
          <t>Patenté</t>
        </is>
      </c>
      <c r="G67" s="16" t="inlineStr">
        <is>
          <t>4690Z</t>
        </is>
      </c>
      <c r="H67" s="16" t="inlineStr">
        <is>
          <t>C</t>
        </is>
      </c>
      <c r="I67" s="17" t="inlineStr">
        <is>
          <t>Commerce</t>
        </is>
      </c>
      <c r="J67" s="18" t="n">
        <v>0</v>
      </c>
      <c r="K67" s="18" t="n">
        <v>1</v>
      </c>
      <c r="L67" s="17" t="inlineStr">
        <is>
          <t>22 2654 A</t>
        </is>
      </c>
      <c r="M67" s="17" t="inlineStr">
        <is>
          <t>M HAUMANI DOMINIQUE</t>
        </is>
      </c>
      <c r="N67" s="17" t="inlineStr">
        <is>
          <t>Chef d entreprise</t>
        </is>
      </c>
      <c r="O67" s="18" t="inlineStr">
        <is>
          <t>1675</t>
        </is>
      </c>
    </row>
    <row r="68" ht="20" customHeight="1">
      <c r="A68" s="13" t="inlineStr">
        <is>
          <t>PAEA-CCISM-0067</t>
        </is>
      </c>
      <c r="B68" s="13" t="inlineStr">
        <is>
          <t>860734</t>
        </is>
      </c>
      <c r="C68" s="14" t="inlineStr">
        <is>
          <t>HAUMANI DORIOS RAIHAUI</t>
        </is>
      </c>
      <c r="D68" s="14" t="inlineStr">
        <is>
          <t>RTE DE LA VALLEE OROFERO 98711 PAEA</t>
        </is>
      </c>
      <c r="E68" s="14" t="inlineStr">
        <is>
          <t>Patenté (Personne Physique)</t>
        </is>
      </c>
      <c r="F68" s="14" t="inlineStr">
        <is>
          <t>Patenté</t>
        </is>
      </c>
      <c r="G68" s="13" t="inlineStr">
        <is>
          <t>4799B</t>
        </is>
      </c>
      <c r="H68" s="13" t="inlineStr">
        <is>
          <t>C</t>
        </is>
      </c>
      <c r="I68" s="14" t="inlineStr">
        <is>
          <t>Commerce</t>
        </is>
      </c>
      <c r="J68" s="15" t="n">
        <v>0</v>
      </c>
      <c r="K68" s="15" t="n">
        <v>1</v>
      </c>
      <c r="L68" s="14" t="inlineStr">
        <is>
          <t>18 2348 A</t>
        </is>
      </c>
      <c r="M68" s="14" t="inlineStr">
        <is>
          <t>M HAUMANI DORIOS RAIHAUI</t>
        </is>
      </c>
      <c r="N68" s="14" t="inlineStr">
        <is>
          <t>Chef d entreprise</t>
        </is>
      </c>
      <c r="O68" s="15" t="inlineStr">
        <is>
          <t>1676</t>
        </is>
      </c>
    </row>
    <row r="69" ht="20" customHeight="1">
      <c r="A69" s="16" t="inlineStr">
        <is>
          <t>PAEA-CCISM-0068</t>
        </is>
      </c>
      <c r="B69" s="16" t="inlineStr">
        <is>
          <t>A61264</t>
        </is>
      </c>
      <c r="C69" s="17" t="inlineStr">
        <is>
          <t>HEIANI</t>
        </is>
      </c>
      <c r="D69" s="17" t="inlineStr">
        <is>
          <t>QUARTIER SARCIAUX 98711 PAEA</t>
        </is>
      </c>
      <c r="E69" s="17" t="inlineStr">
        <is>
          <t>SARL</t>
        </is>
      </c>
      <c r="F69" s="17" t="inlineStr">
        <is>
          <t>Société</t>
        </is>
      </c>
      <c r="G69" s="16" t="inlineStr">
        <is>
          <t>4771Z</t>
        </is>
      </c>
      <c r="H69" s="16" t="inlineStr">
        <is>
          <t>C</t>
        </is>
      </c>
      <c r="I69" s="17" t="inlineStr">
        <is>
          <t>Commerce</t>
        </is>
      </c>
      <c r="J69" s="18" t="n">
        <v>2</v>
      </c>
      <c r="K69" s="18" t="n">
        <v>1</v>
      </c>
      <c r="L69" s="17" t="inlineStr">
        <is>
          <t>13 66 B</t>
        </is>
      </c>
      <c r="M69" s="17" t="inlineStr">
        <is>
          <t>M SARCIAUX TEVAITI MICHEL</t>
        </is>
      </c>
      <c r="N69" s="17" t="inlineStr">
        <is>
          <t>Gérant</t>
        </is>
      </c>
      <c r="O69" s="18" t="inlineStr">
        <is>
          <t>1692</t>
        </is>
      </c>
    </row>
    <row r="70" ht="20" customHeight="1">
      <c r="A70" s="13" t="inlineStr">
        <is>
          <t>PAEA-CCISM-0069</t>
        </is>
      </c>
      <c r="B70" s="13" t="inlineStr">
        <is>
          <t>E95982</t>
        </is>
      </c>
      <c r="C70" s="14" t="inlineStr">
        <is>
          <t>HIGH PROTECT SYSTEMS</t>
        </is>
      </c>
      <c r="D70" s="14" t="inlineStr">
        <is>
          <t>98711 PAEA</t>
        </is>
      </c>
      <c r="E70" s="14" t="inlineStr">
        <is>
          <t>SAS</t>
        </is>
      </c>
      <c r="F70" s="14" t="inlineStr">
        <is>
          <t>Société</t>
        </is>
      </c>
      <c r="G70" s="13" t="inlineStr">
        <is>
          <t>4690Z</t>
        </is>
      </c>
      <c r="H70" s="13" t="inlineStr">
        <is>
          <t>C</t>
        </is>
      </c>
      <c r="I70" s="14" t="inlineStr">
        <is>
          <t>Commerce</t>
        </is>
      </c>
      <c r="J70" s="15" t="n">
        <v>0</v>
      </c>
      <c r="K70" s="15" t="n">
        <v>1</v>
      </c>
      <c r="L70" s="14" t="inlineStr">
        <is>
          <t>22 361 B</t>
        </is>
      </c>
      <c r="M70" s="14" t="inlineStr">
        <is>
          <t>M CHARTIEZ YANNICK</t>
        </is>
      </c>
      <c r="N70" s="14" t="inlineStr">
        <is>
          <t>Président de SAS</t>
        </is>
      </c>
      <c r="O70" s="15" t="inlineStr">
        <is>
          <t>1724</t>
        </is>
      </c>
    </row>
    <row r="71" ht="20" customHeight="1">
      <c r="A71" s="16" t="inlineStr">
        <is>
          <t>PAEA-CCISM-0070</t>
        </is>
      </c>
      <c r="B71" s="16" t="inlineStr">
        <is>
          <t>D59148</t>
        </is>
      </c>
      <c r="C71" s="17" t="inlineStr">
        <is>
          <t>HM IMPORT</t>
        </is>
      </c>
      <c r="D71" s="17" t="inlineStr">
        <is>
          <t>PK 19.800 C/MER 98711 PAEA</t>
        </is>
      </c>
      <c r="E71" s="17" t="inlineStr">
        <is>
          <t>SARL</t>
        </is>
      </c>
      <c r="F71" s="17" t="inlineStr">
        <is>
          <t>Société</t>
        </is>
      </c>
      <c r="G71" s="16" t="inlineStr">
        <is>
          <t>4690Z</t>
        </is>
      </c>
      <c r="H71" s="16" t="inlineStr">
        <is>
          <t>C</t>
        </is>
      </c>
      <c r="I71" s="17" t="inlineStr">
        <is>
          <t>Commerce</t>
        </is>
      </c>
      <c r="J71" s="18" t="n">
        <v>0</v>
      </c>
      <c r="K71" s="18" t="n">
        <v>1</v>
      </c>
      <c r="L71" s="17" t="inlineStr">
        <is>
          <t>20 37 B</t>
        </is>
      </c>
      <c r="M71" s="17" t="inlineStr">
        <is>
          <t>Mme MORACCHINI (Née GUINEBERT) HEIARII</t>
        </is>
      </c>
      <c r="N71" s="17" t="inlineStr">
        <is>
          <t>Gérant</t>
        </is>
      </c>
      <c r="O71" s="18" t="inlineStr">
        <is>
          <t>1756</t>
        </is>
      </c>
    </row>
    <row r="72" ht="20" customHeight="1">
      <c r="A72" s="13" t="inlineStr">
        <is>
          <t>PAEA-CCISM-0071</t>
        </is>
      </c>
      <c r="B72" s="13" t="inlineStr">
        <is>
          <t>243105</t>
        </is>
      </c>
      <c r="C72" s="14" t="inlineStr">
        <is>
          <t>HOLGUIN NEE GOURNAC FLORE HINANO</t>
        </is>
      </c>
      <c r="D72" s="14" t="inlineStr">
        <is>
          <t>PAEA PK 22 C/MER 98711 PAEA</t>
        </is>
      </c>
      <c r="E72" s="14" t="inlineStr">
        <is>
          <t>Patenté (Personne Physique)</t>
        </is>
      </c>
      <c r="F72" s="14" t="inlineStr">
        <is>
          <t>Patenté</t>
        </is>
      </c>
      <c r="G72" s="13" t="inlineStr">
        <is>
          <t>5610C</t>
        </is>
      </c>
      <c r="H72" s="13" t="inlineStr">
        <is>
          <t>C</t>
        </is>
      </c>
      <c r="I72" s="14" t="inlineStr">
        <is>
          <t>Commerce</t>
        </is>
      </c>
      <c r="J72" s="15" t="n">
        <v>0</v>
      </c>
      <c r="K72" s="15" t="n">
        <v>1</v>
      </c>
      <c r="L72" s="14" t="inlineStr">
        <is>
          <t>19314 A</t>
        </is>
      </c>
      <c r="M72" s="14" t="inlineStr">
        <is>
          <t>Mme HOLGUIN (Née GOURNAC) FLORE HINANO</t>
        </is>
      </c>
      <c r="N72" s="14" t="inlineStr">
        <is>
          <t>Chef d entreprise</t>
        </is>
      </c>
      <c r="O72" s="15" t="inlineStr">
        <is>
          <t>1772</t>
        </is>
      </c>
    </row>
    <row r="73" ht="20" customHeight="1">
      <c r="A73" s="16" t="inlineStr">
        <is>
          <t>PAEA-CCISM-0072</t>
        </is>
      </c>
      <c r="B73" s="16" t="inlineStr">
        <is>
          <t>F79620</t>
        </is>
      </c>
      <c r="C73" s="17" t="inlineStr">
        <is>
          <t>HOTU MAHANA</t>
        </is>
      </c>
      <c r="D73" s="17" t="inlineStr">
        <is>
          <t>MAHANA PARK 98711 PAEA</t>
        </is>
      </c>
      <c r="E73" s="17" t="inlineStr">
        <is>
          <t>SARL</t>
        </is>
      </c>
      <c r="F73" s="17" t="inlineStr">
        <is>
          <t>Société</t>
        </is>
      </c>
      <c r="G73" s="16" t="inlineStr">
        <is>
          <t>5610C</t>
        </is>
      </c>
      <c r="H73" s="16" t="inlineStr">
        <is>
          <t>C</t>
        </is>
      </c>
      <c r="I73" s="17" t="inlineStr">
        <is>
          <t>Commerce</t>
        </is>
      </c>
      <c r="J73" s="18" t="n">
        <v>12</v>
      </c>
      <c r="K73" s="18" t="n">
        <v>3</v>
      </c>
      <c r="L73" s="17" t="inlineStr">
        <is>
          <t>24 97 B</t>
        </is>
      </c>
      <c r="M73" s="17" t="inlineStr">
        <is>
          <t>Mme FAAEVA TURIA</t>
        </is>
      </c>
      <c r="N73" s="17" t="inlineStr">
        <is>
          <t>Gérant et associé indéfiniment responsa</t>
        </is>
      </c>
      <c r="O73" s="18" t="inlineStr">
        <is>
          <t>1802</t>
        </is>
      </c>
    </row>
    <row r="74" ht="20" customHeight="1">
      <c r="A74" s="13" t="inlineStr">
        <is>
          <t>PAEA-CCISM-0073</t>
        </is>
      </c>
      <c r="B74" s="13" t="inlineStr">
        <is>
          <t>D31030</t>
        </is>
      </c>
      <c r="C74" s="14" t="inlineStr">
        <is>
          <t>INNOVATION TRADING</t>
        </is>
      </c>
      <c r="D74" s="14" t="inlineStr">
        <is>
          <t>IMMEUBLE TOTOE BEACH - 1ER ETAGE 98711 PAEA</t>
        </is>
      </c>
      <c r="E74" s="14" t="inlineStr">
        <is>
          <t>SARL</t>
        </is>
      </c>
      <c r="F74" s="14" t="inlineStr">
        <is>
          <t>Société</t>
        </is>
      </c>
      <c r="G74" s="13" t="inlineStr">
        <is>
          <t>4690Z</t>
        </is>
      </c>
      <c r="H74" s="13" t="inlineStr">
        <is>
          <t>C</t>
        </is>
      </c>
      <c r="I74" s="14" t="inlineStr">
        <is>
          <t>Commerce</t>
        </is>
      </c>
      <c r="J74" s="15" t="n">
        <v>1</v>
      </c>
      <c r="K74" s="15" t="n">
        <v>1</v>
      </c>
      <c r="L74" s="14" t="inlineStr">
        <is>
          <t>19 199 B</t>
        </is>
      </c>
      <c r="M74" s="14" t="inlineStr">
        <is>
          <t>M RACCUIA ALESSANDRO, GIOVANNI</t>
        </is>
      </c>
      <c r="N74" s="14" t="inlineStr">
        <is>
          <t>Autre</t>
        </is>
      </c>
      <c r="O74" s="15" t="inlineStr">
        <is>
          <t>1886</t>
        </is>
      </c>
    </row>
    <row r="75" ht="20" customHeight="1">
      <c r="A75" s="16" t="inlineStr">
        <is>
          <t>PAEA-CCISM-0074</t>
        </is>
      </c>
      <c r="B75" s="16" t="inlineStr">
        <is>
          <t>F15574</t>
        </is>
      </c>
      <c r="C75" s="17" t="inlineStr">
        <is>
          <t>JAMET HIRIATA</t>
        </is>
      </c>
      <c r="D75" s="17" t="inlineStr">
        <is>
          <t>98711 PAEA</t>
        </is>
      </c>
      <c r="E75" s="17" t="inlineStr">
        <is>
          <t>Patenté (Personne Physique)</t>
        </is>
      </c>
      <c r="F75" s="17" t="inlineStr">
        <is>
          <t>Patenté</t>
        </is>
      </c>
      <c r="G75" s="16" t="inlineStr">
        <is>
          <t>4690Z</t>
        </is>
      </c>
      <c r="H75" s="16" t="inlineStr">
        <is>
          <t>C</t>
        </is>
      </c>
      <c r="I75" s="17" t="inlineStr">
        <is>
          <t>Commerce</t>
        </is>
      </c>
      <c r="J75" s="18" t="n">
        <v>0</v>
      </c>
      <c r="K75" s="18" t="n">
        <v>1</v>
      </c>
      <c r="L75" s="17" t="inlineStr">
        <is>
          <t>23 152 A</t>
        </is>
      </c>
      <c r="M75" s="17" t="inlineStr">
        <is>
          <t>Mme JAMET HIRIATA</t>
        </is>
      </c>
      <c r="N75" s="17" t="inlineStr">
        <is>
          <t>Chef d entreprise</t>
        </is>
      </c>
      <c r="O75" s="18" t="inlineStr">
        <is>
          <t>1926</t>
        </is>
      </c>
    </row>
    <row r="76" ht="20" customHeight="1">
      <c r="A76" s="13" t="inlineStr">
        <is>
          <t>PAEA-CCISM-0075</t>
        </is>
      </c>
      <c r="B76" s="13" t="inlineStr">
        <is>
          <t>663609</t>
        </is>
      </c>
      <c r="C76" s="14" t="inlineStr">
        <is>
          <t>JOHNSTON ANNE-MARIE,TEURA</t>
        </is>
      </c>
      <c r="D76" s="14" t="inlineStr">
        <is>
          <t>PAEA PK 27.700 C/MT 98711 PAEA</t>
        </is>
      </c>
      <c r="E76" s="14" t="inlineStr">
        <is>
          <t>Patenté (Personne Physique)</t>
        </is>
      </c>
      <c r="F76" s="14" t="inlineStr">
        <is>
          <t>Patenté</t>
        </is>
      </c>
      <c r="G76" s="13" t="inlineStr">
        <is>
          <t>5610C</t>
        </is>
      </c>
      <c r="H76" s="13" t="inlineStr">
        <is>
          <t>C</t>
        </is>
      </c>
      <c r="I76" s="14" t="inlineStr">
        <is>
          <t>Commerce</t>
        </is>
      </c>
      <c r="J76" s="15" t="n">
        <v>0</v>
      </c>
      <c r="K76" s="15" t="n">
        <v>1</v>
      </c>
      <c r="L76" s="14" t="inlineStr">
        <is>
          <t>43325 A</t>
        </is>
      </c>
      <c r="M76" s="14" t="inlineStr">
        <is>
          <t>Mme MILICIA ANNE-MARIE,TEURA</t>
        </is>
      </c>
      <c r="N76" s="14" t="inlineStr">
        <is>
          <t>Chef d entreprise</t>
        </is>
      </c>
      <c r="O76" s="15" t="inlineStr">
        <is>
          <t>1954</t>
        </is>
      </c>
    </row>
    <row r="77" ht="20" customHeight="1">
      <c r="A77" s="16" t="inlineStr">
        <is>
          <t>PAEA-CCISM-0076</t>
        </is>
      </c>
      <c r="B77" s="16" t="inlineStr">
        <is>
          <t>F46652</t>
        </is>
      </c>
      <c r="C77" s="17" t="inlineStr">
        <is>
          <t>JOUAN &amp; CO</t>
        </is>
      </c>
      <c r="D77" s="17" t="inlineStr">
        <is>
          <t>SERVITUDE LEHARTEL LOT 26 98711 PAEA</t>
        </is>
      </c>
      <c r="E77" s="17" t="inlineStr">
        <is>
          <t>SARL</t>
        </is>
      </c>
      <c r="F77" s="17" t="inlineStr">
        <is>
          <t>Société</t>
        </is>
      </c>
      <c r="G77" s="16" t="inlineStr">
        <is>
          <t>1071C</t>
        </is>
      </c>
      <c r="H77" s="16" t="inlineStr">
        <is>
          <t>C</t>
        </is>
      </c>
      <c r="I77" s="17" t="inlineStr">
        <is>
          <t>Commerce</t>
        </is>
      </c>
      <c r="J77" s="18" t="n">
        <v>7</v>
      </c>
      <c r="K77" s="18" t="n">
        <v>2</v>
      </c>
      <c r="L77" s="17" t="inlineStr">
        <is>
          <t>24 96 B</t>
        </is>
      </c>
      <c r="M77" s="17" t="inlineStr">
        <is>
          <t>M JOUAN ERWAN</t>
        </is>
      </c>
      <c r="N77" s="17" t="inlineStr">
        <is>
          <t>Gérant</t>
        </is>
      </c>
      <c r="O77" s="18" t="inlineStr">
        <is>
          <t>1972</t>
        </is>
      </c>
    </row>
    <row r="78" ht="20" customHeight="1">
      <c r="A78" s="13" t="inlineStr">
        <is>
          <t>PAEA-CCISM-0077</t>
        </is>
      </c>
      <c r="B78" s="13" t="inlineStr">
        <is>
          <t>C93487</t>
        </is>
      </c>
      <c r="C78" s="14" t="inlineStr">
        <is>
          <t>KIMITETE HINENAO ANOUCHKA</t>
        </is>
      </c>
      <c r="D78" s="14" t="inlineStr">
        <is>
          <t>RTE DE LA VALLEE PAPEHUE N°65 A 98711 PAEA</t>
        </is>
      </c>
      <c r="E78" s="14" t="inlineStr">
        <is>
          <t>Patenté (Personne Physique)</t>
        </is>
      </c>
      <c r="F78" s="14" t="inlineStr">
        <is>
          <t>Patenté</t>
        </is>
      </c>
      <c r="G78" s="13" t="inlineStr">
        <is>
          <t>4799B</t>
        </is>
      </c>
      <c r="H78" s="13" t="inlineStr">
        <is>
          <t>C</t>
        </is>
      </c>
      <c r="I78" s="14" t="inlineStr">
        <is>
          <t>Commerce</t>
        </is>
      </c>
      <c r="J78" s="15" t="n">
        <v>0</v>
      </c>
      <c r="K78" s="15" t="n">
        <v>1</v>
      </c>
      <c r="L78" s="14" t="inlineStr">
        <is>
          <t>18 1980 A</t>
        </is>
      </c>
      <c r="M78" s="14" t="inlineStr">
        <is>
          <t>Mme KIMITETE HINENAO ANOUCHKA</t>
        </is>
      </c>
      <c r="N78" s="14" t="inlineStr">
        <is>
          <t>Chef d entreprise</t>
        </is>
      </c>
      <c r="O78" s="15" t="inlineStr">
        <is>
          <t>2056</t>
        </is>
      </c>
    </row>
    <row r="79" ht="20" customHeight="1">
      <c r="A79" s="16" t="inlineStr">
        <is>
          <t>PAEA-CCISM-0078</t>
        </is>
      </c>
      <c r="B79" s="16" t="inlineStr">
        <is>
          <t>E86908</t>
        </is>
      </c>
      <c r="C79" s="17" t="inlineStr">
        <is>
          <t>KOAN DAVIS</t>
        </is>
      </c>
      <c r="D79" s="17" t="inlineStr">
        <is>
          <t>RESIDENCE TAREVAREVA 98711 PAEA</t>
        </is>
      </c>
      <c r="E79" s="17" t="inlineStr">
        <is>
          <t>Patenté (Personne Physique)</t>
        </is>
      </c>
      <c r="F79" s="17" t="inlineStr">
        <is>
          <t>Patenté</t>
        </is>
      </c>
      <c r="G79" s="16" t="inlineStr">
        <is>
          <t>4690Z</t>
        </is>
      </c>
      <c r="H79" s="16" t="inlineStr">
        <is>
          <t>C</t>
        </is>
      </c>
      <c r="I79" s="17" t="inlineStr">
        <is>
          <t>Commerce</t>
        </is>
      </c>
      <c r="J79" s="18" t="n">
        <v>0</v>
      </c>
      <c r="K79" s="18" t="n">
        <v>1</v>
      </c>
      <c r="L79" s="17" t="inlineStr">
        <is>
          <t>22 1775 A</t>
        </is>
      </c>
      <c r="M79" s="17" t="inlineStr">
        <is>
          <t>M KOAN DAVIS</t>
        </is>
      </c>
      <c r="N79" s="17" t="inlineStr">
        <is>
          <t>Chef d entreprise</t>
        </is>
      </c>
      <c r="O79" s="18" t="inlineStr">
        <is>
          <t>2075</t>
        </is>
      </c>
    </row>
    <row r="80" ht="20" customHeight="1">
      <c r="A80" s="13" t="inlineStr">
        <is>
          <t>PAEA-CCISM-0079</t>
        </is>
      </c>
      <c r="B80" s="13" t="inlineStr">
        <is>
          <t>C90772</t>
        </is>
      </c>
      <c r="C80" s="14" t="inlineStr">
        <is>
          <t>KOAN NEE CADOUSTEAU INGRID MIHIMANA</t>
        </is>
      </c>
      <c r="D80" s="14" t="inlineStr">
        <is>
          <t>98711 PAEA</t>
        </is>
      </c>
      <c r="E80" s="14" t="inlineStr">
        <is>
          <t>Patenté (Personne Physique)</t>
        </is>
      </c>
      <c r="F80" s="14" t="inlineStr">
        <is>
          <t>Patenté</t>
        </is>
      </c>
      <c r="G80" s="13" t="inlineStr">
        <is>
          <t>5610C</t>
        </is>
      </c>
      <c r="H80" s="13" t="inlineStr">
        <is>
          <t>C</t>
        </is>
      </c>
      <c r="I80" s="14" t="inlineStr">
        <is>
          <t>Commerce</t>
        </is>
      </c>
      <c r="J80" s="15" t="n">
        <v>0</v>
      </c>
      <c r="K80" s="15" t="n">
        <v>1</v>
      </c>
      <c r="L80" s="14" t="inlineStr">
        <is>
          <t>18 1778 A</t>
        </is>
      </c>
      <c r="M80" s="14" t="inlineStr">
        <is>
          <t>Mme KOAN (Née CADOUSTEAU) INGRID MIHIMANA</t>
        </is>
      </c>
      <c r="N80" s="14" t="inlineStr">
        <is>
          <t>Chef d entreprise</t>
        </is>
      </c>
      <c r="O80" s="15" t="inlineStr">
        <is>
          <t>2076</t>
        </is>
      </c>
    </row>
    <row r="81" ht="20" customHeight="1">
      <c r="A81" s="16" t="inlineStr">
        <is>
          <t>PAEA-CCISM-0080</t>
        </is>
      </c>
      <c r="B81" s="16" t="inlineStr">
        <is>
          <t>A93762</t>
        </is>
      </c>
      <c r="C81" s="17" t="inlineStr">
        <is>
          <t>LA GRANITIERE DU FENUA</t>
        </is>
      </c>
      <c r="D81" s="17" t="inlineStr">
        <is>
          <t>SERVITUDECADOUSTEAU 98711 PAEA</t>
        </is>
      </c>
      <c r="E81" s="17" t="inlineStr">
        <is>
          <t>SARL</t>
        </is>
      </c>
      <c r="F81" s="17" t="inlineStr">
        <is>
          <t>Société</t>
        </is>
      </c>
      <c r="G81" s="16" t="inlineStr">
        <is>
          <t>4673A</t>
        </is>
      </c>
      <c r="H81" s="16" t="inlineStr">
        <is>
          <t>C</t>
        </is>
      </c>
      <c r="I81" s="17" t="inlineStr">
        <is>
          <t>Commerce</t>
        </is>
      </c>
      <c r="J81" s="18" t="n">
        <v>6</v>
      </c>
      <c r="K81" s="18" t="n">
        <v>2</v>
      </c>
      <c r="L81" s="17" t="inlineStr">
        <is>
          <t>14 11 B</t>
        </is>
      </c>
      <c r="M81" s="17" t="inlineStr">
        <is>
          <t>Mme BARRIERE STEPHANIE</t>
        </is>
      </c>
      <c r="N81" s="17" t="inlineStr">
        <is>
          <t>Gérant</t>
        </is>
      </c>
      <c r="O81" s="18" t="inlineStr">
        <is>
          <t>2126</t>
        </is>
      </c>
    </row>
    <row r="82" ht="20" customHeight="1">
      <c r="A82" s="13" t="inlineStr">
        <is>
          <t>PAEA-CCISM-0081</t>
        </is>
      </c>
      <c r="B82" s="13" t="inlineStr">
        <is>
          <t>991901</t>
        </is>
      </c>
      <c r="C82" s="14" t="inlineStr">
        <is>
          <t>LACROIX CHRISTELLE</t>
        </is>
      </c>
      <c r="D82" s="14" t="inlineStr">
        <is>
          <t>LOTISSEMENT PUHANA 98711 PAEA</t>
        </is>
      </c>
      <c r="E82" s="14" t="inlineStr">
        <is>
          <t>Patenté (Personne Physique)</t>
        </is>
      </c>
      <c r="F82" s="14" t="inlineStr">
        <is>
          <t>Patenté</t>
        </is>
      </c>
      <c r="G82" s="13" t="inlineStr">
        <is>
          <t>4690Z</t>
        </is>
      </c>
      <c r="H82" s="13" t="inlineStr">
        <is>
          <t>C</t>
        </is>
      </c>
      <c r="I82" s="14" t="inlineStr">
        <is>
          <t>Commerce</t>
        </is>
      </c>
      <c r="J82" s="15" t="n">
        <v>0</v>
      </c>
      <c r="K82" s="15" t="n">
        <v>1</v>
      </c>
      <c r="L82" s="14" t="inlineStr">
        <is>
          <t>11 1247 A</t>
        </is>
      </c>
      <c r="M82" s="14" t="inlineStr">
        <is>
          <t>Mme LACROIX CHRISTELLE</t>
        </is>
      </c>
      <c r="N82" s="14" t="inlineStr">
        <is>
          <t>Chef d entreprise</t>
        </is>
      </c>
      <c r="O82" s="15" t="inlineStr">
        <is>
          <t>2165</t>
        </is>
      </c>
    </row>
    <row r="83" ht="20" customHeight="1">
      <c r="A83" s="16" t="inlineStr">
        <is>
          <t>PAEA-CCISM-0082</t>
        </is>
      </c>
      <c r="B83" s="16" t="inlineStr">
        <is>
          <t>941062</t>
        </is>
      </c>
      <c r="C83" s="17" t="inlineStr">
        <is>
          <t>LANDAT CEDRIC GHISLAINE CLAUDE</t>
        </is>
      </c>
      <c r="D83" s="17" t="inlineStr">
        <is>
          <t>PAEA PK 19.500 C/MONT - LOT.SEIGNEUR 98711 PAEA</t>
        </is>
      </c>
      <c r="E83" s="17" t="inlineStr">
        <is>
          <t>Patenté (Personne Physique)</t>
        </is>
      </c>
      <c r="F83" s="17" t="inlineStr">
        <is>
          <t>Patenté</t>
        </is>
      </c>
      <c r="G83" s="16" t="inlineStr">
        <is>
          <t>5610C</t>
        </is>
      </c>
      <c r="H83" s="16" t="inlineStr">
        <is>
          <t>C</t>
        </is>
      </c>
      <c r="I83" s="17" t="inlineStr">
        <is>
          <t>Commerce</t>
        </is>
      </c>
      <c r="J83" s="18" t="n">
        <v>0</v>
      </c>
      <c r="K83" s="18" t="n">
        <v>1</v>
      </c>
      <c r="L83" s="17" t="inlineStr">
        <is>
          <t>10 510 A</t>
        </is>
      </c>
      <c r="M83" s="17" t="inlineStr">
        <is>
          <t>M LANDAT CEDRIC GHISLAINE CLAUDE</t>
        </is>
      </c>
      <c r="N83" s="17" t="inlineStr">
        <is>
          <t>Chef d entreprise</t>
        </is>
      </c>
      <c r="O83" s="18" t="inlineStr">
        <is>
          <t>2204</t>
        </is>
      </c>
    </row>
    <row r="84" ht="20" customHeight="1">
      <c r="A84" s="13" t="inlineStr">
        <is>
          <t>PAEA-CCISM-0083</t>
        </is>
      </c>
      <c r="B84" s="13" t="inlineStr">
        <is>
          <t>944595</t>
        </is>
      </c>
      <c r="C84" s="14" t="inlineStr">
        <is>
          <t>LAO NEE JAMET HEREITI JESSIE</t>
        </is>
      </c>
      <c r="D84" s="14" t="inlineStr">
        <is>
          <t>SERVITUD PAPEHUE LOT 19 98711 PAEA</t>
        </is>
      </c>
      <c r="E84" s="14" t="inlineStr">
        <is>
          <t>Patenté (Personne Physique)</t>
        </is>
      </c>
      <c r="F84" s="14" t="inlineStr">
        <is>
          <t>Patenté</t>
        </is>
      </c>
      <c r="G84" s="13" t="inlineStr">
        <is>
          <t>4799B</t>
        </is>
      </c>
      <c r="H84" s="13" t="inlineStr">
        <is>
          <t>C</t>
        </is>
      </c>
      <c r="I84" s="14" t="inlineStr">
        <is>
          <t>Commerce</t>
        </is>
      </c>
      <c r="J84" s="15" t="n">
        <v>0</v>
      </c>
      <c r="K84" s="15" t="n">
        <v>1</v>
      </c>
      <c r="L84" s="14" t="inlineStr">
        <is>
          <t>22 2957 A</t>
        </is>
      </c>
      <c r="M84" s="14" t="inlineStr">
        <is>
          <t>Mme LAO (Née JAMET) HEREITI JESSIE</t>
        </is>
      </c>
      <c r="N84" s="14" t="inlineStr">
        <is>
          <t>Chef d entreprise</t>
        </is>
      </c>
      <c r="O84" s="15" t="inlineStr">
        <is>
          <t>2218</t>
        </is>
      </c>
    </row>
    <row r="85" ht="20" customHeight="1">
      <c r="A85" s="16" t="inlineStr">
        <is>
          <t>PAEA-CCISM-0084</t>
        </is>
      </c>
      <c r="B85" s="16" t="inlineStr">
        <is>
          <t>609628</t>
        </is>
      </c>
      <c r="C85" s="17" t="inlineStr">
        <is>
          <t>L'ART DU TAPOI ROI</t>
        </is>
      </c>
      <c r="D85" s="17" t="inlineStr">
        <is>
          <t>PAEA PK 24.400 C/MT 98711 PAEA</t>
        </is>
      </c>
      <c r="E85" s="17" t="inlineStr">
        <is>
          <t>SARL</t>
        </is>
      </c>
      <c r="F85" s="17" t="inlineStr">
        <is>
          <t>Société</t>
        </is>
      </c>
      <c r="G85" s="16" t="inlineStr">
        <is>
          <t>4649Z</t>
        </is>
      </c>
      <c r="H85" s="16" t="inlineStr">
        <is>
          <t>C</t>
        </is>
      </c>
      <c r="I85" s="17" t="inlineStr">
        <is>
          <t>Commerce</t>
        </is>
      </c>
      <c r="J85" s="18" t="n">
        <v>1</v>
      </c>
      <c r="K85" s="18" t="n">
        <v>1</v>
      </c>
      <c r="L85" s="17" t="inlineStr">
        <is>
          <t>8600 B</t>
        </is>
      </c>
      <c r="M85" s="17" t="inlineStr">
        <is>
          <t>M JUIF PATRICK MAURICE</t>
        </is>
      </c>
      <c r="N85" s="17" t="inlineStr">
        <is>
          <t>Gérant</t>
        </is>
      </c>
      <c r="O85" s="18" t="inlineStr">
        <is>
          <t>2225</t>
        </is>
      </c>
    </row>
    <row r="86" ht="20" customHeight="1">
      <c r="A86" s="13" t="inlineStr">
        <is>
          <t>PAEA-CCISM-0085</t>
        </is>
      </c>
      <c r="B86" s="13" t="inlineStr">
        <is>
          <t>A45804</t>
        </is>
      </c>
      <c r="C86" s="14" t="inlineStr">
        <is>
          <t>LAUT CHRISTIAN</t>
        </is>
      </c>
      <c r="D86" s="14" t="inlineStr">
        <is>
          <t>PAEA PK 22.500 C/MONT 98711 PAEA</t>
        </is>
      </c>
      <c r="E86" s="14" t="inlineStr">
        <is>
          <t>Patenté (Personne Physique)</t>
        </is>
      </c>
      <c r="F86" s="14" t="inlineStr">
        <is>
          <t>Patenté</t>
        </is>
      </c>
      <c r="G86" s="13" t="inlineStr">
        <is>
          <t>4711B</t>
        </is>
      </c>
      <c r="H86" s="13" t="inlineStr">
        <is>
          <t>C</t>
        </is>
      </c>
      <c r="I86" s="14" t="inlineStr">
        <is>
          <t>Commerce</t>
        </is>
      </c>
      <c r="J86" s="15" t="n">
        <v>10</v>
      </c>
      <c r="K86" s="15" t="n">
        <v>2</v>
      </c>
      <c r="L86" s="14" t="inlineStr">
        <is>
          <t>12 2131 A</t>
        </is>
      </c>
      <c r="M86" s="14" t="inlineStr">
        <is>
          <t>M LAUT CHRISTIAN</t>
        </is>
      </c>
      <c r="N86" s="14" t="inlineStr">
        <is>
          <t>Chef d entreprise</t>
        </is>
      </c>
      <c r="O86" s="15" t="inlineStr">
        <is>
          <t>2246</t>
        </is>
      </c>
    </row>
    <row r="87" ht="20" customHeight="1">
      <c r="A87" s="16" t="inlineStr">
        <is>
          <t>PAEA-CCISM-0086</t>
        </is>
      </c>
      <c r="B87" s="16" t="inlineStr">
        <is>
          <t>721126</t>
        </is>
      </c>
      <c r="C87" s="17" t="inlineStr">
        <is>
          <t>LE GUERROUE-DREVILLON DOMINIQUE FERNAND</t>
        </is>
      </c>
      <c r="D87" s="17" t="inlineStr">
        <is>
          <t>QUARTIER FULLER 98711 PAEA</t>
        </is>
      </c>
      <c r="E87" s="17" t="inlineStr">
        <is>
          <t>Patenté (Personne Physique)</t>
        </is>
      </c>
      <c r="F87" s="17" t="inlineStr">
        <is>
          <t>Patenté</t>
        </is>
      </c>
      <c r="G87" s="16" t="inlineStr">
        <is>
          <t>4690Z</t>
        </is>
      </c>
      <c r="H87" s="16" t="inlineStr">
        <is>
          <t>C</t>
        </is>
      </c>
      <c r="I87" s="17" t="inlineStr">
        <is>
          <t>Commerce</t>
        </is>
      </c>
      <c r="J87" s="18" t="n">
        <v>0</v>
      </c>
      <c r="K87" s="18" t="n">
        <v>1</v>
      </c>
      <c r="L87" s="17" t="inlineStr">
        <is>
          <t>13 1605 A</t>
        </is>
      </c>
      <c r="M87" s="17" t="inlineStr">
        <is>
          <t>M LE GUERROUE-DREVILLON DOMINIQUE FERNAND</t>
        </is>
      </c>
      <c r="N87" s="17" t="inlineStr">
        <is>
          <t>Chef d entreprise</t>
        </is>
      </c>
      <c r="O87" s="18" t="inlineStr">
        <is>
          <t>2272</t>
        </is>
      </c>
    </row>
    <row r="88" ht="20" customHeight="1">
      <c r="A88" s="13" t="inlineStr">
        <is>
          <t>PAEA-CCISM-0087</t>
        </is>
      </c>
      <c r="B88" s="13" t="inlineStr">
        <is>
          <t>F54466</t>
        </is>
      </c>
      <c r="C88" s="14" t="inlineStr">
        <is>
          <t>LE TAKI</t>
        </is>
      </c>
      <c r="D88" s="14" t="inlineStr">
        <is>
          <t>98711 PAEA</t>
        </is>
      </c>
      <c r="E88" s="14" t="inlineStr">
        <is>
          <t>SAS</t>
        </is>
      </c>
      <c r="F88" s="14" t="inlineStr">
        <is>
          <t>Société</t>
        </is>
      </c>
      <c r="G88" s="13" t="inlineStr">
        <is>
          <t>5610C</t>
        </is>
      </c>
      <c r="H88" s="13" t="inlineStr">
        <is>
          <t>C</t>
        </is>
      </c>
      <c r="I88" s="14" t="inlineStr">
        <is>
          <t>Commerce</t>
        </is>
      </c>
      <c r="J88" s="15" t="n">
        <v>0</v>
      </c>
      <c r="K88" s="15" t="n">
        <v>1</v>
      </c>
      <c r="L88" s="14" t="inlineStr">
        <is>
          <t>23 494 B</t>
        </is>
      </c>
      <c r="M88" s="14" t="inlineStr">
        <is>
          <t>Mme BRETAGNON FRANCE MOEA</t>
        </is>
      </c>
      <c r="N88" s="14" t="inlineStr">
        <is>
          <t>Président de SAS</t>
        </is>
      </c>
      <c r="O88" s="15" t="inlineStr">
        <is>
          <t>2299</t>
        </is>
      </c>
    </row>
    <row r="89" ht="20" customHeight="1">
      <c r="A89" s="16" t="inlineStr">
        <is>
          <t>PAEA-CCISM-0088</t>
        </is>
      </c>
      <c r="B89" s="16" t="inlineStr">
        <is>
          <t>567719</t>
        </is>
      </c>
      <c r="C89" s="17" t="inlineStr">
        <is>
          <t>LOUSSAN BARBARA LAILA</t>
        </is>
      </c>
      <c r="D89" s="17" t="inlineStr">
        <is>
          <t>98711 PAEA</t>
        </is>
      </c>
      <c r="E89" s="17" t="inlineStr">
        <is>
          <t>Patenté (Personne Physique)</t>
        </is>
      </c>
      <c r="F89" s="17" t="inlineStr">
        <is>
          <t>Patenté</t>
        </is>
      </c>
      <c r="G89" s="16" t="inlineStr">
        <is>
          <t>4799B</t>
        </is>
      </c>
      <c r="H89" s="16" t="inlineStr">
        <is>
          <t>C</t>
        </is>
      </c>
      <c r="I89" s="17" t="inlineStr">
        <is>
          <t>Commerce</t>
        </is>
      </c>
      <c r="J89" s="18" t="n">
        <v>0</v>
      </c>
      <c r="K89" s="18" t="n">
        <v>1</v>
      </c>
      <c r="L89" s="17" t="inlineStr">
        <is>
          <t>19 1541 A</t>
        </is>
      </c>
      <c r="M89" s="17" t="inlineStr">
        <is>
          <t>Mme LOUSSAN BARBARA LAILA</t>
        </is>
      </c>
      <c r="N89" s="17" t="inlineStr">
        <is>
          <t>Chef d entreprise</t>
        </is>
      </c>
      <c r="O89" s="18" t="inlineStr">
        <is>
          <t>2486</t>
        </is>
      </c>
    </row>
    <row r="90" ht="20" customHeight="1">
      <c r="A90" s="13" t="inlineStr">
        <is>
          <t>PAEA-CCISM-0089</t>
        </is>
      </c>
      <c r="B90" s="13" t="inlineStr">
        <is>
          <t>B78712</t>
        </is>
      </c>
      <c r="C90" s="14" t="inlineStr">
        <is>
          <t>LS TEHITI</t>
        </is>
      </c>
      <c r="D90" s="14" t="inlineStr">
        <is>
          <t>98711 PAEA</t>
        </is>
      </c>
      <c r="E90" s="14" t="inlineStr">
        <is>
          <t>SARL</t>
        </is>
      </c>
      <c r="F90" s="14" t="inlineStr">
        <is>
          <t>Société</t>
        </is>
      </c>
      <c r="G90" s="13" t="inlineStr">
        <is>
          <t>4711B</t>
        </is>
      </c>
      <c r="H90" s="13" t="inlineStr">
        <is>
          <t>C</t>
        </is>
      </c>
      <c r="I90" s="14" t="inlineStr">
        <is>
          <t>Commerce</t>
        </is>
      </c>
      <c r="J90" s="15" t="n">
        <v>8</v>
      </c>
      <c r="K90" s="15" t="n">
        <v>2</v>
      </c>
      <c r="L90" s="14" t="inlineStr">
        <is>
          <t>16 11 B</t>
        </is>
      </c>
      <c r="M90" s="14" t="inlineStr">
        <is>
          <t>M RICHMOND VAIRUA ALBERT</t>
        </is>
      </c>
      <c r="N90" s="14" t="inlineStr">
        <is>
          <t>Gérant</t>
        </is>
      </c>
      <c r="O90" s="15" t="inlineStr">
        <is>
          <t>2498</t>
        </is>
      </c>
    </row>
    <row r="91" ht="20" customHeight="1">
      <c r="A91" s="16" t="inlineStr">
        <is>
          <t>PAEA-CCISM-0090</t>
        </is>
      </c>
      <c r="B91" s="16" t="inlineStr">
        <is>
          <t>956557</t>
        </is>
      </c>
      <c r="C91" s="17" t="inlineStr">
        <is>
          <t>MAHANA PARK CENTER</t>
        </is>
      </c>
      <c r="D91" s="17" t="inlineStr">
        <is>
          <t>PAEA PK 18.300 C/MER - DOMAINE PAPEHUE 98711 PAEA</t>
        </is>
      </c>
      <c r="E91" s="17" t="inlineStr">
        <is>
          <t>SARL</t>
        </is>
      </c>
      <c r="F91" s="17" t="inlineStr">
        <is>
          <t>Société</t>
        </is>
      </c>
      <c r="G91" s="16" t="inlineStr">
        <is>
          <t>5610A</t>
        </is>
      </c>
      <c r="H91" s="16" t="inlineStr">
        <is>
          <t>C</t>
        </is>
      </c>
      <c r="I91" s="17" t="inlineStr">
        <is>
          <t>Commerce</t>
        </is>
      </c>
      <c r="J91" s="18" t="n">
        <v>0</v>
      </c>
      <c r="K91" s="18" t="n">
        <v>1</v>
      </c>
      <c r="L91" s="17" t="inlineStr">
        <is>
          <t>10 241 B</t>
        </is>
      </c>
      <c r="M91" s="17" t="inlineStr">
        <is>
          <t>M SALMON YVES VAVITU</t>
        </is>
      </c>
      <c r="N91" s="17" t="inlineStr">
        <is>
          <t>Gérant</t>
        </is>
      </c>
      <c r="O91" s="18" t="inlineStr">
        <is>
          <t>2618</t>
        </is>
      </c>
    </row>
    <row r="92" ht="20" customHeight="1">
      <c r="A92" s="13" t="inlineStr">
        <is>
          <t>PAEA-CCISM-0091</t>
        </is>
      </c>
      <c r="B92" s="13" t="inlineStr">
        <is>
          <t>272112</t>
        </is>
      </c>
      <c r="C92" s="14" t="inlineStr">
        <is>
          <t>MAHUTATUA-WAN NEE MAHUTATUA VIOLETTE</t>
        </is>
      </c>
      <c r="D92" s="14" t="inlineStr">
        <is>
          <t>PAEA PK 21.500 C/MT 98711 PAEA</t>
        </is>
      </c>
      <c r="E92" s="14" t="inlineStr">
        <is>
          <t>Patenté (Personne Physique)</t>
        </is>
      </c>
      <c r="F92" s="14" t="inlineStr">
        <is>
          <t>Patenté</t>
        </is>
      </c>
      <c r="G92" s="13" t="inlineStr">
        <is>
          <t>4649Z</t>
        </is>
      </c>
      <c r="H92" s="13" t="inlineStr">
        <is>
          <t>C</t>
        </is>
      </c>
      <c r="I92" s="14" t="inlineStr">
        <is>
          <t>Commerce</t>
        </is>
      </c>
      <c r="J92" s="15" t="n">
        <v>0</v>
      </c>
      <c r="K92" s="15" t="n">
        <v>1</v>
      </c>
      <c r="L92" s="14" t="inlineStr">
        <is>
          <t>35292 A</t>
        </is>
      </c>
      <c r="M92" s="14" t="inlineStr">
        <is>
          <t>Mme MAHUTATUA-WAN (Née MAHUTATUA) VIOLETTE</t>
        </is>
      </c>
      <c r="N92" s="14" t="inlineStr">
        <is>
          <t>Chef d entreprise</t>
        </is>
      </c>
      <c r="O92" s="15" t="inlineStr">
        <is>
          <t>2633</t>
        </is>
      </c>
    </row>
    <row r="93" ht="20" customHeight="1">
      <c r="A93" s="16" t="inlineStr">
        <is>
          <t>PAEA-CCISM-0092</t>
        </is>
      </c>
      <c r="B93" s="16" t="inlineStr">
        <is>
          <t>553982</t>
        </is>
      </c>
      <c r="C93" s="17" t="inlineStr">
        <is>
          <t>MAKE NEE AIRIMA URATUA, VIRGINIE</t>
        </is>
      </c>
      <c r="D93" s="17" t="inlineStr">
        <is>
          <t>98711 PAEA</t>
        </is>
      </c>
      <c r="E93" s="17" t="inlineStr">
        <is>
          <t>Patenté (Personne Physique)</t>
        </is>
      </c>
      <c r="F93" s="17" t="inlineStr">
        <is>
          <t>Patenté</t>
        </is>
      </c>
      <c r="G93" s="16" t="inlineStr">
        <is>
          <t>4690Z</t>
        </is>
      </c>
      <c r="H93" s="16" t="inlineStr">
        <is>
          <t>C</t>
        </is>
      </c>
      <c r="I93" s="17" t="inlineStr">
        <is>
          <t>Commerce</t>
        </is>
      </c>
      <c r="J93" s="18" t="n">
        <v>0</v>
      </c>
      <c r="K93" s="18" t="n">
        <v>1</v>
      </c>
      <c r="L93" s="17" t="inlineStr">
        <is>
          <t>23 1351 A</t>
        </is>
      </c>
      <c r="M93" s="17" t="inlineStr">
        <is>
          <t>Mme MAKE (Née AIRIMA) URATUA, VIRGINIE</t>
        </is>
      </c>
      <c r="N93" s="17" t="inlineStr">
        <is>
          <t>Chef d entreprise</t>
        </is>
      </c>
      <c r="O93" s="18" t="inlineStr">
        <is>
          <t>2674</t>
        </is>
      </c>
    </row>
    <row r="94" ht="20" customHeight="1">
      <c r="A94" s="13" t="inlineStr">
        <is>
          <t>PAEA-CCISM-0093</t>
        </is>
      </c>
      <c r="B94" s="13" t="inlineStr">
        <is>
          <t>D90135</t>
        </is>
      </c>
      <c r="C94" s="14" t="inlineStr">
        <is>
          <t>MAMITA AND CO</t>
        </is>
      </c>
      <c r="D94" s="14" t="inlineStr">
        <is>
          <t>SERV PAPEHUE 98711 PAEA</t>
        </is>
      </c>
      <c r="E94" s="14" t="inlineStr">
        <is>
          <t>SARL</t>
        </is>
      </c>
      <c r="F94" s="14" t="inlineStr">
        <is>
          <t>Société</t>
        </is>
      </c>
      <c r="G94" s="13" t="inlineStr">
        <is>
          <t>5610C</t>
        </is>
      </c>
      <c r="H94" s="13" t="inlineStr">
        <is>
          <t>C</t>
        </is>
      </c>
      <c r="I94" s="14" t="inlineStr">
        <is>
          <t>Commerce</t>
        </is>
      </c>
      <c r="J94" s="15" t="n">
        <v>4</v>
      </c>
      <c r="K94" s="15" t="n">
        <v>1</v>
      </c>
      <c r="L94" s="14" t="inlineStr">
        <is>
          <t>20 322 B</t>
        </is>
      </c>
      <c r="M94" s="14" t="inlineStr">
        <is>
          <t>Mme MANATE-MARAETAATA GWENDOLINE</t>
        </is>
      </c>
      <c r="N94" s="14" t="inlineStr">
        <is>
          <t>Gérant</t>
        </is>
      </c>
      <c r="O94" s="15" t="inlineStr">
        <is>
          <t>2688</t>
        </is>
      </c>
    </row>
    <row r="95" ht="20" customHeight="1">
      <c r="A95" s="16" t="inlineStr">
        <is>
          <t>PAEA-CCISM-0094</t>
        </is>
      </c>
      <c r="B95" s="16" t="inlineStr">
        <is>
          <t>C88420</t>
        </is>
      </c>
      <c r="C95" s="17" t="inlineStr">
        <is>
          <t>MANA CATERING</t>
        </is>
      </c>
      <c r="D95" s="17" t="inlineStr">
        <is>
          <t>98711 PAEA</t>
        </is>
      </c>
      <c r="E95" s="17" t="inlineStr">
        <is>
          <t>SARL</t>
        </is>
      </c>
      <c r="F95" s="17" t="inlineStr">
        <is>
          <t>Société</t>
        </is>
      </c>
      <c r="G95" s="16" t="inlineStr">
        <is>
          <t>5610C</t>
        </is>
      </c>
      <c r="H95" s="16" t="inlineStr">
        <is>
          <t>C</t>
        </is>
      </c>
      <c r="I95" s="17" t="inlineStr">
        <is>
          <t>Commerce</t>
        </is>
      </c>
      <c r="J95" s="18" t="n">
        <v>0</v>
      </c>
      <c r="K95" s="18" t="n">
        <v>1</v>
      </c>
      <c r="L95" s="17" t="inlineStr">
        <is>
          <t>18 207 B</t>
        </is>
      </c>
      <c r="M95" s="17" t="inlineStr">
        <is>
          <t>M HENRY TEVA</t>
        </is>
      </c>
      <c r="N95" s="17" t="inlineStr">
        <is>
          <t>Gérant</t>
        </is>
      </c>
      <c r="O95" s="18" t="inlineStr">
        <is>
          <t>2692</t>
        </is>
      </c>
    </row>
    <row r="96" ht="20" customHeight="1">
      <c r="A96" s="13" t="inlineStr">
        <is>
          <t>PAEA-CCISM-0095</t>
        </is>
      </c>
      <c r="B96" s="13" t="inlineStr">
        <is>
          <t>489252</t>
        </is>
      </c>
      <c r="C96" s="14" t="inlineStr">
        <is>
          <t>MANA EPSE</t>
        </is>
      </c>
      <c r="D96" s="14" t="inlineStr">
        <is>
          <t>PAEA PK 21.9 C/MONT - DEVANT MAG.TAREV 98711 PAEA</t>
        </is>
      </c>
      <c r="E96" s="14" t="inlineStr">
        <is>
          <t>Patenté (Personne Physique)</t>
        </is>
      </c>
      <c r="F96" s="14" t="inlineStr">
        <is>
          <t>Patenté</t>
        </is>
      </c>
      <c r="G96" s="13" t="inlineStr">
        <is>
          <t>5610C</t>
        </is>
      </c>
      <c r="H96" s="13" t="inlineStr">
        <is>
          <t>C</t>
        </is>
      </c>
      <c r="I96" s="14" t="inlineStr">
        <is>
          <t>Commerce</t>
        </is>
      </c>
      <c r="J96" s="15" t="n">
        <v>0</v>
      </c>
      <c r="K96" s="15" t="n">
        <v>1</v>
      </c>
      <c r="L96" s="14" t="inlineStr"/>
      <c r="M96" s="14" t="inlineStr">
        <is>
          <t>33871 A</t>
        </is>
      </c>
      <c r="N96" s="14" t="inlineStr"/>
      <c r="O96" s="15" t="inlineStr"/>
    </row>
    <row r="97" ht="20" customHeight="1">
      <c r="A97" s="16" t="inlineStr">
        <is>
          <t>PAEA-CCISM-0096</t>
        </is>
      </c>
      <c r="B97" s="16" t="inlineStr">
        <is>
          <t>B23734</t>
        </is>
      </c>
      <c r="C97" s="17" t="inlineStr">
        <is>
          <t>MANA ITI</t>
        </is>
      </c>
      <c r="D97" s="17" t="inlineStr">
        <is>
          <t>98711 PAEA</t>
        </is>
      </c>
      <c r="E97" s="17" t="inlineStr">
        <is>
          <t>SARL</t>
        </is>
      </c>
      <c r="F97" s="17" t="inlineStr">
        <is>
          <t>Société</t>
        </is>
      </c>
      <c r="G97" s="16" t="inlineStr">
        <is>
          <t>4690Z</t>
        </is>
      </c>
      <c r="H97" s="16" t="inlineStr">
        <is>
          <t>C</t>
        </is>
      </c>
      <c r="I97" s="17" t="inlineStr">
        <is>
          <t>Commerce</t>
        </is>
      </c>
      <c r="J97" s="18" t="n">
        <v>0</v>
      </c>
      <c r="K97" s="18" t="n">
        <v>1</v>
      </c>
      <c r="L97" s="17" t="inlineStr">
        <is>
          <t>14 243 B</t>
        </is>
      </c>
      <c r="M97" s="17" t="inlineStr">
        <is>
          <t>Mme TREBUCQ ISABELLE</t>
        </is>
      </c>
      <c r="N97" s="17" t="inlineStr">
        <is>
          <t>Gérant</t>
        </is>
      </c>
      <c r="O97" s="18" t="inlineStr">
        <is>
          <t>2695</t>
        </is>
      </c>
    </row>
    <row r="98" ht="20" customHeight="1">
      <c r="A98" s="13" t="inlineStr">
        <is>
          <t>PAEA-CCISM-0097</t>
        </is>
      </c>
      <c r="B98" s="13" t="inlineStr">
        <is>
          <t>F50373</t>
        </is>
      </c>
      <c r="C98" s="14" t="inlineStr">
        <is>
          <t>MANA JOSEPH TEHAHE</t>
        </is>
      </c>
      <c r="D98" s="14" t="inlineStr">
        <is>
          <t>PARKING DE LA MAIRIE 98711 PAEA</t>
        </is>
      </c>
      <c r="E98" s="14" t="inlineStr">
        <is>
          <t>Patenté (Personne Physique)</t>
        </is>
      </c>
      <c r="F98" s="14" t="inlineStr">
        <is>
          <t>Patenté</t>
        </is>
      </c>
      <c r="G98" s="13" t="inlineStr">
        <is>
          <t>5610C</t>
        </is>
      </c>
      <c r="H98" s="13" t="inlineStr">
        <is>
          <t>C</t>
        </is>
      </c>
      <c r="I98" s="14" t="inlineStr">
        <is>
          <t>Commerce</t>
        </is>
      </c>
      <c r="J98" s="15" t="n">
        <v>1</v>
      </c>
      <c r="K98" s="15" t="n">
        <v>1</v>
      </c>
      <c r="L98" s="14" t="inlineStr">
        <is>
          <t>23 2461 A</t>
        </is>
      </c>
      <c r="M98" s="14" t="inlineStr">
        <is>
          <t>M MANA JOSEPH TEHAHE</t>
        </is>
      </c>
      <c r="N98" s="14" t="inlineStr">
        <is>
          <t>Chef d entreprise</t>
        </is>
      </c>
      <c r="O98" s="15" t="inlineStr">
        <is>
          <t>2697</t>
        </is>
      </c>
    </row>
    <row r="99" ht="20" customHeight="1">
      <c r="A99" s="16" t="inlineStr">
        <is>
          <t>PAEA-CCISM-0098</t>
        </is>
      </c>
      <c r="B99" s="16" t="inlineStr">
        <is>
          <t>768150</t>
        </is>
      </c>
      <c r="C99" s="17" t="inlineStr">
        <is>
          <t>MANATE TIHOTI, ELVIS</t>
        </is>
      </c>
      <c r="D99" s="17" t="inlineStr">
        <is>
          <t>98711 PAEA</t>
        </is>
      </c>
      <c r="E99" s="17" t="inlineStr">
        <is>
          <t>Patenté (Personne Physique)</t>
        </is>
      </c>
      <c r="F99" s="17" t="inlineStr">
        <is>
          <t>Patenté</t>
        </is>
      </c>
      <c r="G99" s="16" t="inlineStr">
        <is>
          <t>4730Z</t>
        </is>
      </c>
      <c r="H99" s="16" t="inlineStr">
        <is>
          <t>C</t>
        </is>
      </c>
      <c r="I99" s="17" t="inlineStr">
        <is>
          <t>Commerce</t>
        </is>
      </c>
      <c r="J99" s="18" t="n">
        <v>0</v>
      </c>
      <c r="K99" s="18" t="n">
        <v>1</v>
      </c>
      <c r="L99" s="17" t="inlineStr">
        <is>
          <t>17 10 A</t>
        </is>
      </c>
      <c r="M99" s="17" t="inlineStr">
        <is>
          <t>M MANATE TIHOTI, ELVIS</t>
        </is>
      </c>
      <c r="N99" s="17" t="inlineStr">
        <is>
          <t>Chef d entreprise</t>
        </is>
      </c>
      <c r="O99" s="18" t="inlineStr">
        <is>
          <t>2712</t>
        </is>
      </c>
    </row>
    <row r="100" ht="20" customHeight="1">
      <c r="A100" s="13" t="inlineStr">
        <is>
          <t>PAEA-CCISM-0099</t>
        </is>
      </c>
      <c r="B100" s="13" t="inlineStr">
        <is>
          <t>926816</t>
        </is>
      </c>
      <c r="C100" s="14" t="inlineStr">
        <is>
          <t>MANUTAHI ARIIRAI</t>
        </is>
      </c>
      <c r="D100" s="14" t="inlineStr">
        <is>
          <t>98711 PAEA</t>
        </is>
      </c>
      <c r="E100" s="14" t="inlineStr">
        <is>
          <t>Patenté (Personne Physique)</t>
        </is>
      </c>
      <c r="F100" s="14" t="inlineStr">
        <is>
          <t>Patenté</t>
        </is>
      </c>
      <c r="G100" s="13" t="inlineStr">
        <is>
          <t>4799A</t>
        </is>
      </c>
      <c r="H100" s="13" t="inlineStr">
        <is>
          <t>C</t>
        </is>
      </c>
      <c r="I100" s="14" t="inlineStr">
        <is>
          <t>Commerce</t>
        </is>
      </c>
      <c r="J100" s="15" t="n">
        <v>1</v>
      </c>
      <c r="K100" s="15" t="n">
        <v>1</v>
      </c>
      <c r="L100" s="14" t="inlineStr">
        <is>
          <t>18 470 A</t>
        </is>
      </c>
      <c r="M100" s="14" t="inlineStr">
        <is>
          <t>M MANUTAHI ARIIRAI</t>
        </is>
      </c>
      <c r="N100" s="14" t="inlineStr">
        <is>
          <t>Chef d entreprise</t>
        </is>
      </c>
      <c r="O100" s="15" t="inlineStr">
        <is>
          <t>2736</t>
        </is>
      </c>
    </row>
    <row r="101" ht="20" customHeight="1">
      <c r="A101" s="16" t="inlineStr">
        <is>
          <t>PAEA-CCISM-0100</t>
        </is>
      </c>
      <c r="B101" s="16" t="inlineStr">
        <is>
          <t>F87532</t>
        </is>
      </c>
      <c r="C101" s="17" t="inlineStr">
        <is>
          <t>MANUVAI SHOP</t>
        </is>
      </c>
      <c r="D101" s="17" t="inlineStr">
        <is>
          <t>QUARTIER MAHUTATUA 98711 PAEA</t>
        </is>
      </c>
      <c r="E101" s="17" t="inlineStr">
        <is>
          <t>SARL</t>
        </is>
      </c>
      <c r="F101" s="17" t="inlineStr">
        <is>
          <t>Société</t>
        </is>
      </c>
      <c r="G101" s="16" t="inlineStr">
        <is>
          <t>4690Z</t>
        </is>
      </c>
      <c r="H101" s="16" t="inlineStr">
        <is>
          <t>C</t>
        </is>
      </c>
      <c r="I101" s="17" t="inlineStr">
        <is>
          <t>Commerce</t>
        </is>
      </c>
      <c r="J101" s="18" t="n">
        <v>0</v>
      </c>
      <c r="K101" s="18" t="n">
        <v>1</v>
      </c>
      <c r="L101" s="17" t="inlineStr">
        <is>
          <t>24 164 B</t>
        </is>
      </c>
      <c r="M101" s="17" t="inlineStr">
        <is>
          <t>M PITO AUIRA</t>
        </is>
      </c>
      <c r="N101" s="17" t="inlineStr">
        <is>
          <t>Gérant</t>
        </is>
      </c>
      <c r="O101" s="18" t="inlineStr">
        <is>
          <t>2740</t>
        </is>
      </c>
    </row>
    <row r="102" ht="20" customHeight="1">
      <c r="A102" s="13" t="inlineStr">
        <is>
          <t>PAEA-CCISM-0101</t>
        </is>
      </c>
      <c r="B102" s="13" t="inlineStr">
        <is>
          <t>968768</t>
        </is>
      </c>
      <c r="C102" s="14" t="inlineStr">
        <is>
          <t>MARCHE FRAICHEUR PAEA</t>
        </is>
      </c>
      <c r="D102" s="14" t="inlineStr">
        <is>
          <t>98711 PAEA</t>
        </is>
      </c>
      <c r="E102" s="14" t="inlineStr">
        <is>
          <t>SARL</t>
        </is>
      </c>
      <c r="F102" s="14" t="inlineStr">
        <is>
          <t>Société</t>
        </is>
      </c>
      <c r="G102" s="13" t="inlineStr">
        <is>
          <t>4781Z</t>
        </is>
      </c>
      <c r="H102" s="13" t="inlineStr">
        <is>
          <t>C</t>
        </is>
      </c>
      <c r="I102" s="14" t="inlineStr">
        <is>
          <t>Commerce</t>
        </is>
      </c>
      <c r="J102" s="15" t="n">
        <v>14</v>
      </c>
      <c r="K102" s="15" t="n">
        <v>3</v>
      </c>
      <c r="L102" s="14" t="inlineStr">
        <is>
          <t>10 340 B</t>
        </is>
      </c>
      <c r="M102" s="14" t="inlineStr">
        <is>
          <t>M JEGOU JOEL PHILIPPE</t>
        </is>
      </c>
      <c r="N102" s="14" t="inlineStr">
        <is>
          <t>Gérant</t>
        </is>
      </c>
      <c r="O102" s="15" t="inlineStr">
        <is>
          <t>2768</t>
        </is>
      </c>
    </row>
    <row r="103" ht="20" customHeight="1">
      <c r="A103" s="16" t="inlineStr">
        <is>
          <t>PAEA-CCISM-0102</t>
        </is>
      </c>
      <c r="B103" s="16" t="inlineStr">
        <is>
          <t>E78681</t>
        </is>
      </c>
      <c r="C103" s="17" t="inlineStr">
        <is>
          <t>MARLON'S GASTRONOMY</t>
        </is>
      </c>
      <c r="D103" s="17" t="inlineStr">
        <is>
          <t>DAUPHIN 1 PK 26,4 CT MONT 98711 PAEA</t>
        </is>
      </c>
      <c r="E103" s="17" t="inlineStr">
        <is>
          <t>SARL</t>
        </is>
      </c>
      <c r="F103" s="17" t="inlineStr">
        <is>
          <t>Société</t>
        </is>
      </c>
      <c r="G103" s="16" t="inlineStr">
        <is>
          <t>4690Z</t>
        </is>
      </c>
      <c r="H103" s="16" t="inlineStr">
        <is>
          <t>C</t>
        </is>
      </c>
      <c r="I103" s="17" t="inlineStr">
        <is>
          <t>Commerce</t>
        </is>
      </c>
      <c r="J103" s="18" t="n">
        <v>0</v>
      </c>
      <c r="K103" s="18" t="n">
        <v>1</v>
      </c>
      <c r="L103" s="17" t="inlineStr">
        <is>
          <t>22 244 B</t>
        </is>
      </c>
      <c r="M103" s="17" t="inlineStr">
        <is>
          <t>M ALBACETE MARLON</t>
        </is>
      </c>
      <c r="N103" s="17" t="inlineStr">
        <is>
          <t>Gérant</t>
        </is>
      </c>
      <c r="O103" s="18" t="inlineStr">
        <is>
          <t>2788</t>
        </is>
      </c>
    </row>
    <row r="104" ht="20" customHeight="1">
      <c r="A104" s="13" t="inlineStr">
        <is>
          <t>PAEA-CCISM-0103</t>
        </is>
      </c>
      <c r="B104" s="13" t="inlineStr">
        <is>
          <t>478362</t>
        </is>
      </c>
      <c r="C104" s="14" t="inlineStr">
        <is>
          <t>MARTINEAU RUCKY LARRY</t>
        </is>
      </c>
      <c r="D104" s="14" t="inlineStr">
        <is>
          <t>PAEA PK 19.800 C/MONT 98711 PAEA</t>
        </is>
      </c>
      <c r="E104" s="14" t="inlineStr">
        <is>
          <t>Patenté (Personne Physique)</t>
        </is>
      </c>
      <c r="F104" s="14" t="inlineStr">
        <is>
          <t>Patenté</t>
        </is>
      </c>
      <c r="G104" s="13" t="inlineStr">
        <is>
          <t>5610C</t>
        </is>
      </c>
      <c r="H104" s="13" t="inlineStr">
        <is>
          <t>C</t>
        </is>
      </c>
      <c r="I104" s="14" t="inlineStr">
        <is>
          <t>Commerce</t>
        </is>
      </c>
      <c r="J104" s="15" t="n">
        <v>0</v>
      </c>
      <c r="K104" s="15" t="n">
        <v>1</v>
      </c>
      <c r="L104" s="14" t="inlineStr">
        <is>
          <t>09 477 A</t>
        </is>
      </c>
      <c r="M104" s="14" t="inlineStr">
        <is>
          <t>M MARTINEAU RUCKY LARRY</t>
        </is>
      </c>
      <c r="N104" s="14" t="inlineStr">
        <is>
          <t>Chef d entreprise</t>
        </is>
      </c>
      <c r="O104" s="15" t="inlineStr">
        <is>
          <t>2804</t>
        </is>
      </c>
    </row>
    <row r="105" ht="20" customHeight="1">
      <c r="A105" s="16" t="inlineStr">
        <is>
          <t>PAEA-CCISM-0104</t>
        </is>
      </c>
      <c r="B105" s="16" t="inlineStr">
        <is>
          <t>E02343</t>
        </is>
      </c>
      <c r="C105" s="17" t="inlineStr">
        <is>
          <t>MEAMEA EVA</t>
        </is>
      </c>
      <c r="D105" s="17" t="inlineStr">
        <is>
          <t>DER. VAITERUPE DERN. AU FOND À GAUCHE BP 330592 98711 PAEA</t>
        </is>
      </c>
      <c r="E105" s="17" t="inlineStr">
        <is>
          <t>Patenté (Personne Physique)</t>
        </is>
      </c>
      <c r="F105" s="17" t="inlineStr">
        <is>
          <t>Patenté</t>
        </is>
      </c>
      <c r="G105" s="16" t="inlineStr">
        <is>
          <t>5610C</t>
        </is>
      </c>
      <c r="H105" s="16" t="inlineStr">
        <is>
          <t>C</t>
        </is>
      </c>
      <c r="I105" s="17" t="inlineStr">
        <is>
          <t>Commerce</t>
        </is>
      </c>
      <c r="J105" s="18" t="n">
        <v>0</v>
      </c>
      <c r="K105" s="18" t="n">
        <v>1</v>
      </c>
      <c r="L105" s="17" t="inlineStr">
        <is>
          <t>21 1107 A</t>
        </is>
      </c>
      <c r="M105" s="17" t="inlineStr">
        <is>
          <t>Mme MEAMEA EVA</t>
        </is>
      </c>
      <c r="N105" s="17" t="inlineStr">
        <is>
          <t>Chef d entreprise</t>
        </is>
      </c>
      <c r="O105" s="18" t="inlineStr">
        <is>
          <t>2888</t>
        </is>
      </c>
    </row>
    <row r="106" ht="20" customHeight="1">
      <c r="A106" s="13" t="inlineStr">
        <is>
          <t>PAEA-CCISM-0105</t>
        </is>
      </c>
      <c r="B106" s="13" t="inlineStr">
        <is>
          <t>D79922</t>
        </is>
      </c>
      <c r="C106" s="14" t="inlineStr">
        <is>
          <t>MENDES MOERII SILIA</t>
        </is>
      </c>
      <c r="D106" s="14" t="inlineStr">
        <is>
          <t>98711 PAEA</t>
        </is>
      </c>
      <c r="E106" s="14" t="inlineStr">
        <is>
          <t>Patenté (Personne Physique)</t>
        </is>
      </c>
      <c r="F106" s="14" t="inlineStr">
        <is>
          <t>Patenté</t>
        </is>
      </c>
      <c r="G106" s="13" t="inlineStr">
        <is>
          <t>4690Z</t>
        </is>
      </c>
      <c r="H106" s="13" t="inlineStr">
        <is>
          <t>C</t>
        </is>
      </c>
      <c r="I106" s="14" t="inlineStr">
        <is>
          <t>Commerce</t>
        </is>
      </c>
      <c r="J106" s="15" t="n">
        <v>0</v>
      </c>
      <c r="K106" s="15" t="n">
        <v>1</v>
      </c>
      <c r="L106" s="14" t="inlineStr">
        <is>
          <t>20 1425 A</t>
        </is>
      </c>
      <c r="M106" s="14" t="inlineStr">
        <is>
          <t>M MENDES MOERII SILIA</t>
        </is>
      </c>
      <c r="N106" s="14" t="inlineStr">
        <is>
          <t>Chef d entreprise</t>
        </is>
      </c>
      <c r="O106" s="15" t="inlineStr">
        <is>
          <t>2903</t>
        </is>
      </c>
    </row>
    <row r="107" ht="20" customHeight="1">
      <c r="A107" s="16" t="inlineStr">
        <is>
          <t>PAEA-CCISM-0106</t>
        </is>
      </c>
      <c r="B107" s="16" t="inlineStr">
        <is>
          <t>174805</t>
        </is>
      </c>
      <c r="C107" s="17" t="inlineStr">
        <is>
          <t>MIHIMANA JERRY</t>
        </is>
      </c>
      <c r="D107" s="17" t="inlineStr">
        <is>
          <t>PAEA PK 27.5 C/MONTAGNE 98711 PAEA</t>
        </is>
      </c>
      <c r="E107" s="17" t="inlineStr">
        <is>
          <t>Patenté (Personne Physique)</t>
        </is>
      </c>
      <c r="F107" s="17" t="inlineStr">
        <is>
          <t>Patenté</t>
        </is>
      </c>
      <c r="G107" s="16" t="inlineStr">
        <is>
          <t>4690Z</t>
        </is>
      </c>
      <c r="H107" s="16" t="inlineStr">
        <is>
          <t>C</t>
        </is>
      </c>
      <c r="I107" s="17" t="inlineStr">
        <is>
          <t>Commerce</t>
        </is>
      </c>
      <c r="J107" s="18" t="n">
        <v>0</v>
      </c>
      <c r="K107" s="18" t="n">
        <v>1</v>
      </c>
      <c r="L107" s="17" t="inlineStr">
        <is>
          <t>19 622 A</t>
        </is>
      </c>
      <c r="M107" s="17" t="inlineStr">
        <is>
          <t>M MIHIMANA JERRY</t>
        </is>
      </c>
      <c r="N107" s="17" t="inlineStr">
        <is>
          <t>Chef d entreprise</t>
        </is>
      </c>
      <c r="O107" s="18" t="inlineStr">
        <is>
          <t>2935</t>
        </is>
      </c>
    </row>
    <row r="108" ht="20" customHeight="1">
      <c r="A108" s="13" t="inlineStr">
        <is>
          <t>PAEA-CCISM-0107</t>
        </is>
      </c>
      <c r="B108" s="13" t="inlineStr">
        <is>
          <t>682708</t>
        </is>
      </c>
      <c r="C108" s="14" t="inlineStr">
        <is>
          <t>MIHIMANA NEE TERII VAEANA</t>
        </is>
      </c>
      <c r="D108" s="14" t="inlineStr">
        <is>
          <t>SERVITUDE TEIOTUA 98711 PAEA</t>
        </is>
      </c>
      <c r="E108" s="14" t="inlineStr">
        <is>
          <t>Patenté (Personne Physique)</t>
        </is>
      </c>
      <c r="F108" s="14" t="inlineStr">
        <is>
          <t>Patenté</t>
        </is>
      </c>
      <c r="G108" s="13" t="inlineStr">
        <is>
          <t>4669A</t>
        </is>
      </c>
      <c r="H108" s="13" t="inlineStr">
        <is>
          <t>C</t>
        </is>
      </c>
      <c r="I108" s="14" t="inlineStr">
        <is>
          <t>Commerce</t>
        </is>
      </c>
      <c r="J108" s="15" t="n">
        <v>0</v>
      </c>
      <c r="K108" s="15" t="n">
        <v>1</v>
      </c>
      <c r="L108" s="14" t="inlineStr">
        <is>
          <t>18 881 A</t>
        </is>
      </c>
      <c r="M108" s="14" t="inlineStr">
        <is>
          <t>Mme MIHIMANA (Née TERII) VAEANA</t>
        </is>
      </c>
      <c r="N108" s="14" t="inlineStr">
        <is>
          <t>Chef d entreprise</t>
        </is>
      </c>
      <c r="O108" s="15" t="inlineStr">
        <is>
          <t>2936</t>
        </is>
      </c>
    </row>
    <row r="109" ht="20" customHeight="1">
      <c r="A109" s="16" t="inlineStr">
        <is>
          <t>PAEA-CCISM-0108</t>
        </is>
      </c>
      <c r="B109" s="16" t="inlineStr">
        <is>
          <t>F26696</t>
        </is>
      </c>
      <c r="C109" s="17" t="inlineStr">
        <is>
          <t>MIRETTI LAURENT DAVID</t>
        </is>
      </c>
      <c r="D109" s="17" t="inlineStr">
        <is>
          <t>4 SERV AVIA 98711 PAEA</t>
        </is>
      </c>
      <c r="E109" s="17" t="inlineStr">
        <is>
          <t>Patenté (Personne Physique)</t>
        </is>
      </c>
      <c r="F109" s="17" t="inlineStr">
        <is>
          <t>Patenté</t>
        </is>
      </c>
      <c r="G109" s="16" t="inlineStr">
        <is>
          <t>4511Z</t>
        </is>
      </c>
      <c r="H109" s="16" t="inlineStr">
        <is>
          <t>C</t>
        </is>
      </c>
      <c r="I109" s="17" t="inlineStr">
        <is>
          <t>Commerce</t>
        </is>
      </c>
      <c r="J109" s="18" t="n">
        <v>0</v>
      </c>
      <c r="K109" s="18" t="n">
        <v>1</v>
      </c>
      <c r="L109" s="17" t="inlineStr">
        <is>
          <t>23 862 A</t>
        </is>
      </c>
      <c r="M109" s="17" t="inlineStr">
        <is>
          <t>M MIRETTI LAURENT DAVID</t>
        </is>
      </c>
      <c r="N109" s="17" t="inlineStr">
        <is>
          <t>Chef d entreprise</t>
        </is>
      </c>
      <c r="O109" s="18" t="inlineStr">
        <is>
          <t>2947</t>
        </is>
      </c>
    </row>
    <row r="110" ht="20" customHeight="1">
      <c r="A110" s="13" t="inlineStr">
        <is>
          <t>PAEA-CCISM-0109</t>
        </is>
      </c>
      <c r="B110" s="13" t="inlineStr">
        <is>
          <t>F76618</t>
        </is>
      </c>
      <c r="C110" s="14" t="inlineStr">
        <is>
          <t>MOHEA LOCAL STREET FOOD</t>
        </is>
      </c>
      <c r="D110" s="14" t="inlineStr">
        <is>
          <t>STDE PAPEHUE LOT 19 98711 PAEA</t>
        </is>
      </c>
      <c r="E110" s="14" t="inlineStr">
        <is>
          <t>SARL</t>
        </is>
      </c>
      <c r="F110" s="14" t="inlineStr">
        <is>
          <t>Société</t>
        </is>
      </c>
      <c r="G110" s="13" t="inlineStr">
        <is>
          <t>5610C</t>
        </is>
      </c>
      <c r="H110" s="13" t="inlineStr">
        <is>
          <t>C</t>
        </is>
      </c>
      <c r="I110" s="14" t="inlineStr">
        <is>
          <t>Commerce</t>
        </is>
      </c>
      <c r="J110" s="15" t="n">
        <v>1</v>
      </c>
      <c r="K110" s="15" t="n">
        <v>1</v>
      </c>
      <c r="L110" s="14" t="inlineStr">
        <is>
          <t>24 317 B</t>
        </is>
      </c>
      <c r="M110" s="14" t="inlineStr">
        <is>
          <t>M TANATA TEHOTU</t>
        </is>
      </c>
      <c r="N110" s="14" t="inlineStr">
        <is>
          <t>Gérant</t>
        </is>
      </c>
      <c r="O110" s="15" t="inlineStr">
        <is>
          <t>2976</t>
        </is>
      </c>
    </row>
    <row r="111" ht="20" customHeight="1">
      <c r="A111" s="16" t="inlineStr">
        <is>
          <t>PAEA-CCISM-0110</t>
        </is>
      </c>
      <c r="B111" s="16" t="inlineStr">
        <is>
          <t>869289</t>
        </is>
      </c>
      <c r="C111" s="17" t="inlineStr">
        <is>
          <t>MOON RAY</t>
        </is>
      </c>
      <c r="D111" s="17" t="inlineStr">
        <is>
          <t>PAEA PK 23.700 C/MER - IMM TOTOE BEACH 98711 PAEA</t>
        </is>
      </c>
      <c r="E111" s="17" t="inlineStr">
        <is>
          <t>SARL</t>
        </is>
      </c>
      <c r="F111" s="17" t="inlineStr">
        <is>
          <t>Société</t>
        </is>
      </c>
      <c r="G111" s="16" t="inlineStr">
        <is>
          <t>5610C</t>
        </is>
      </c>
      <c r="H111" s="16" t="inlineStr">
        <is>
          <t>C</t>
        </is>
      </c>
      <c r="I111" s="17" t="inlineStr">
        <is>
          <t>Commerce</t>
        </is>
      </c>
      <c r="J111" s="18" t="n">
        <v>12</v>
      </c>
      <c r="K111" s="18" t="n">
        <v>3</v>
      </c>
      <c r="L111" s="17" t="inlineStr">
        <is>
          <t>08 173 B</t>
        </is>
      </c>
      <c r="M111" s="17" t="inlineStr">
        <is>
          <t>Mme LAM CHEUNG TANIA JENNIFER</t>
        </is>
      </c>
      <c r="N111" s="17" t="inlineStr"/>
      <c r="O111" s="18" t="inlineStr">
        <is>
          <t>2998</t>
        </is>
      </c>
    </row>
    <row r="112" ht="20" customHeight="1">
      <c r="A112" s="13" t="inlineStr">
        <is>
          <t>PAEA-CCISM-0111</t>
        </is>
      </c>
      <c r="B112" s="13" t="inlineStr">
        <is>
          <t>D83650</t>
        </is>
      </c>
      <c r="C112" s="14" t="inlineStr">
        <is>
          <t>MORACCHINI PONI, LAURENT</t>
        </is>
      </c>
      <c r="D112" s="14" t="inlineStr">
        <is>
          <t>RTE SERVITUDE TAHUNA 98711 PAEA</t>
        </is>
      </c>
      <c r="E112" s="14" t="inlineStr">
        <is>
          <t>Patenté (Personne Physique)</t>
        </is>
      </c>
      <c r="F112" s="14" t="inlineStr">
        <is>
          <t>Patenté</t>
        </is>
      </c>
      <c r="G112" s="13" t="inlineStr">
        <is>
          <t>4799B</t>
        </is>
      </c>
      <c r="H112" s="13" t="inlineStr">
        <is>
          <t>C</t>
        </is>
      </c>
      <c r="I112" s="14" t="inlineStr">
        <is>
          <t>Commerce</t>
        </is>
      </c>
      <c r="J112" s="15" t="n">
        <v>0</v>
      </c>
      <c r="K112" s="15" t="n">
        <v>1</v>
      </c>
      <c r="L112" s="14" t="inlineStr">
        <is>
          <t>20 1584 A</t>
        </is>
      </c>
      <c r="M112" s="14" t="inlineStr">
        <is>
          <t>M MORACCHINI PONI, LAURENT</t>
        </is>
      </c>
      <c r="N112" s="14" t="inlineStr">
        <is>
          <t>Chef d entreprise</t>
        </is>
      </c>
      <c r="O112" s="15" t="inlineStr">
        <is>
          <t>3010</t>
        </is>
      </c>
    </row>
    <row r="113" ht="20" customHeight="1">
      <c r="A113" s="16" t="inlineStr">
        <is>
          <t>PAEA-CCISM-0112</t>
        </is>
      </c>
      <c r="B113" s="16" t="inlineStr">
        <is>
          <t>B92051</t>
        </is>
      </c>
      <c r="C113" s="17" t="inlineStr">
        <is>
          <t>MOUA RAINUI STEEVE</t>
        </is>
      </c>
      <c r="D113" s="17" t="inlineStr">
        <is>
          <t>QT AGNE 98711 PAEA</t>
        </is>
      </c>
      <c r="E113" s="17" t="inlineStr">
        <is>
          <t>Patenté (Personne Physique)</t>
        </is>
      </c>
      <c r="F113" s="17" t="inlineStr">
        <is>
          <t>Patenté</t>
        </is>
      </c>
      <c r="G113" s="16" t="inlineStr">
        <is>
          <t>5610C</t>
        </is>
      </c>
      <c r="H113" s="16" t="inlineStr">
        <is>
          <t>C</t>
        </is>
      </c>
      <c r="I113" s="17" t="inlineStr">
        <is>
          <t>Commerce</t>
        </is>
      </c>
      <c r="J113" s="18" t="n">
        <v>0</v>
      </c>
      <c r="K113" s="18" t="n">
        <v>1</v>
      </c>
      <c r="L113" s="17" t="inlineStr">
        <is>
          <t>16 1205 A</t>
        </is>
      </c>
      <c r="M113" s="17" t="inlineStr">
        <is>
          <t>M MOUA RAINUI STEEVE</t>
        </is>
      </c>
      <c r="N113" s="17" t="inlineStr">
        <is>
          <t>Chef d entreprise</t>
        </is>
      </c>
      <c r="O113" s="18" t="inlineStr">
        <is>
          <t>3051</t>
        </is>
      </c>
    </row>
    <row r="114" ht="20" customHeight="1">
      <c r="A114" s="13" t="inlineStr">
        <is>
          <t>PAEA-CCISM-0113</t>
        </is>
      </c>
      <c r="B114" s="13" t="inlineStr">
        <is>
          <t>A08182</t>
        </is>
      </c>
      <c r="C114" s="14" t="inlineStr">
        <is>
          <t>NG PAO MIHIROA</t>
        </is>
      </c>
      <c r="D114" s="14" t="inlineStr">
        <is>
          <t>SERVITUDE APUARII 98711 PAEA</t>
        </is>
      </c>
      <c r="E114" s="14" t="inlineStr">
        <is>
          <t>Patenté (Personne Physique)</t>
        </is>
      </c>
      <c r="F114" s="14" t="inlineStr">
        <is>
          <t>Patenté</t>
        </is>
      </c>
      <c r="G114" s="13" t="inlineStr">
        <is>
          <t>4690Z</t>
        </is>
      </c>
      <c r="H114" s="13" t="inlineStr">
        <is>
          <t>C</t>
        </is>
      </c>
      <c r="I114" s="14" t="inlineStr">
        <is>
          <t>Commerce</t>
        </is>
      </c>
      <c r="J114" s="15" t="n">
        <v>0</v>
      </c>
      <c r="K114" s="15" t="n">
        <v>1</v>
      </c>
      <c r="L114" s="14" t="inlineStr">
        <is>
          <t>2316 A</t>
        </is>
      </c>
      <c r="M114" s="14" t="inlineStr">
        <is>
          <t>Mme NG PAO MIHIROA</t>
        </is>
      </c>
      <c r="N114" s="14" t="inlineStr">
        <is>
          <t>Chef d entreprise</t>
        </is>
      </c>
      <c r="O114" s="15" t="inlineStr">
        <is>
          <t>3123</t>
        </is>
      </c>
    </row>
    <row r="115" ht="20" customHeight="1">
      <c r="A115" s="16" t="inlineStr">
        <is>
          <t>PAEA-CCISM-0114</t>
        </is>
      </c>
      <c r="B115" s="16" t="inlineStr">
        <is>
          <t>634469</t>
        </is>
      </c>
      <c r="C115" s="17" t="inlineStr">
        <is>
          <t>NOCK ALAIN RAYMOND</t>
        </is>
      </c>
      <c r="D115" s="17" t="inlineStr">
        <is>
          <t>PAEA PK 21 C/MONT - APUARII 98711 PAEA</t>
        </is>
      </c>
      <c r="E115" s="17" t="inlineStr">
        <is>
          <t>Patenté (Personne Physique)</t>
        </is>
      </c>
      <c r="F115" s="17" t="inlineStr">
        <is>
          <t>Patenté</t>
        </is>
      </c>
      <c r="G115" s="16" t="inlineStr">
        <is>
          <t>4511Z</t>
        </is>
      </c>
      <c r="H115" s="16" t="inlineStr">
        <is>
          <t>C</t>
        </is>
      </c>
      <c r="I115" s="17" t="inlineStr">
        <is>
          <t>Commerce</t>
        </is>
      </c>
      <c r="J115" s="18" t="n">
        <v>0</v>
      </c>
      <c r="K115" s="18" t="n">
        <v>1</v>
      </c>
      <c r="L115" s="17" t="inlineStr">
        <is>
          <t>41516 A</t>
        </is>
      </c>
      <c r="M115" s="17" t="inlineStr">
        <is>
          <t>M NOCK ALAIN RAYMOND</t>
        </is>
      </c>
      <c r="N115" s="17" t="inlineStr">
        <is>
          <t>Chef d entreprise</t>
        </is>
      </c>
      <c r="O115" s="18" t="inlineStr">
        <is>
          <t>3143</t>
        </is>
      </c>
    </row>
    <row r="116" ht="20" customHeight="1">
      <c r="A116" s="13" t="inlineStr">
        <is>
          <t>PAEA-CCISM-0115</t>
        </is>
      </c>
      <c r="B116" s="13" t="inlineStr">
        <is>
          <t>312736</t>
        </is>
      </c>
      <c r="C116" s="14" t="inlineStr">
        <is>
          <t>NOREL MARC ANDRE</t>
        </is>
      </c>
      <c r="D116" s="14" t="inlineStr">
        <is>
          <t>98711 PAEA</t>
        </is>
      </c>
      <c r="E116" s="14" t="inlineStr">
        <is>
          <t>Patenté (Personne Physique)</t>
        </is>
      </c>
      <c r="F116" s="14" t="inlineStr">
        <is>
          <t>Patenté</t>
        </is>
      </c>
      <c r="G116" s="13" t="inlineStr">
        <is>
          <t>4799B</t>
        </is>
      </c>
      <c r="H116" s="13" t="inlineStr">
        <is>
          <t>C</t>
        </is>
      </c>
      <c r="I116" s="14" t="inlineStr">
        <is>
          <t>Commerce</t>
        </is>
      </c>
      <c r="J116" s="15" t="n">
        <v>1</v>
      </c>
      <c r="K116" s="15" t="n">
        <v>1</v>
      </c>
      <c r="L116" s="14" t="inlineStr">
        <is>
          <t>19 1999 A</t>
        </is>
      </c>
      <c r="M116" s="14" t="inlineStr">
        <is>
          <t>M NOREL MARC ANDRE</t>
        </is>
      </c>
      <c r="N116" s="14" t="inlineStr">
        <is>
          <t>Chef d entreprise</t>
        </is>
      </c>
      <c r="O116" s="15" t="inlineStr">
        <is>
          <t>3152</t>
        </is>
      </c>
    </row>
    <row r="117" ht="20" customHeight="1">
      <c r="A117" s="16" t="inlineStr">
        <is>
          <t>PAEA-CCISM-0116</t>
        </is>
      </c>
      <c r="B117" s="16" t="inlineStr">
        <is>
          <t>C83082</t>
        </is>
      </c>
      <c r="C117" s="17" t="inlineStr">
        <is>
          <t>PAEAMARA MAURICE HONOURA</t>
        </is>
      </c>
      <c r="D117" s="17" t="inlineStr">
        <is>
          <t>PROPRIETE CHAPMAN LOT 4 DU LOT 4BIS 98711 PAEA</t>
        </is>
      </c>
      <c r="E117" s="17" t="inlineStr">
        <is>
          <t>Patenté (Personne Physique)</t>
        </is>
      </c>
      <c r="F117" s="17" t="inlineStr">
        <is>
          <t>Patenté</t>
        </is>
      </c>
      <c r="G117" s="16" t="inlineStr">
        <is>
          <t>5610C</t>
        </is>
      </c>
      <c r="H117" s="16" t="inlineStr">
        <is>
          <t>C</t>
        </is>
      </c>
      <c r="I117" s="17" t="inlineStr">
        <is>
          <t>Commerce</t>
        </is>
      </c>
      <c r="J117" s="18" t="n">
        <v>0</v>
      </c>
      <c r="K117" s="18" t="n">
        <v>1</v>
      </c>
      <c r="L117" s="17" t="inlineStr">
        <is>
          <t>18 1263 A</t>
        </is>
      </c>
      <c r="M117" s="17" t="inlineStr">
        <is>
          <t>M PAEAMARA MAURICE HONOURA</t>
        </is>
      </c>
      <c r="N117" s="17" t="inlineStr">
        <is>
          <t>Chef d entreprise</t>
        </is>
      </c>
      <c r="O117" s="18" t="inlineStr">
        <is>
          <t>3291</t>
        </is>
      </c>
    </row>
    <row r="118" ht="20" customHeight="1">
      <c r="A118" s="13" t="inlineStr">
        <is>
          <t>PAEA-CCISM-0117</t>
        </is>
      </c>
      <c r="B118" s="13" t="inlineStr">
        <is>
          <t>G10904</t>
        </is>
      </c>
      <c r="C118" s="14" t="inlineStr">
        <is>
          <t>PANI NOA</t>
        </is>
      </c>
      <c r="D118" s="14" t="inlineStr">
        <is>
          <t>LOT N°19 SERVITUDE PAPEHUE 98711 PAEA</t>
        </is>
      </c>
      <c r="E118" s="14" t="inlineStr">
        <is>
          <t>Patenté (Personne Physique)</t>
        </is>
      </c>
      <c r="F118" s="14" t="inlineStr">
        <is>
          <t>Patenté</t>
        </is>
      </c>
      <c r="G118" s="13" t="inlineStr">
        <is>
          <t>5610C</t>
        </is>
      </c>
      <c r="H118" s="13" t="inlineStr">
        <is>
          <t>C</t>
        </is>
      </c>
      <c r="I118" s="14" t="inlineStr">
        <is>
          <t>Commerce</t>
        </is>
      </c>
      <c r="J118" s="15" t="n">
        <v>0</v>
      </c>
      <c r="K118" s="15" t="n">
        <v>1</v>
      </c>
      <c r="L118" s="14" t="inlineStr">
        <is>
          <t>25 394 A</t>
        </is>
      </c>
      <c r="M118" s="14" t="inlineStr">
        <is>
          <t>M PANI NOA</t>
        </is>
      </c>
      <c r="N118" s="14" t="inlineStr">
        <is>
          <t>Chef d entreprise</t>
        </is>
      </c>
      <c r="O118" s="15" t="inlineStr">
        <is>
          <t>3311</t>
        </is>
      </c>
    </row>
    <row r="119" ht="20" customHeight="1">
      <c r="A119" s="16" t="inlineStr">
        <is>
          <t>PAEA-CCISM-0118</t>
        </is>
      </c>
      <c r="B119" s="16" t="inlineStr">
        <is>
          <t>995431</t>
        </is>
      </c>
      <c r="C119" s="17" t="inlineStr">
        <is>
          <t>PANIE NEE TERII VAITIARE</t>
        </is>
      </c>
      <c r="D119" s="17" t="inlineStr">
        <is>
          <t>SERV.TEIOATUA N 98711 PAEA</t>
        </is>
      </c>
      <c r="E119" s="17" t="inlineStr">
        <is>
          <t>Patenté (Personne Physique)</t>
        </is>
      </c>
      <c r="F119" s="17" t="inlineStr">
        <is>
          <t>Patenté</t>
        </is>
      </c>
      <c r="G119" s="16" t="inlineStr">
        <is>
          <t>4690Z</t>
        </is>
      </c>
      <c r="H119" s="16" t="inlineStr">
        <is>
          <t>C</t>
        </is>
      </c>
      <c r="I119" s="17" t="inlineStr">
        <is>
          <t>Commerce</t>
        </is>
      </c>
      <c r="J119" s="18" t="n">
        <v>0</v>
      </c>
      <c r="K119" s="18" t="n">
        <v>1</v>
      </c>
      <c r="L119" s="17" t="inlineStr">
        <is>
          <t>11 1411 A</t>
        </is>
      </c>
      <c r="M119" s="17" t="inlineStr">
        <is>
          <t>Mme PANIE (Née TERII) VAITIARE</t>
        </is>
      </c>
      <c r="N119" s="17" t="inlineStr">
        <is>
          <t>Chef d entreprise</t>
        </is>
      </c>
      <c r="O119" s="18" t="inlineStr">
        <is>
          <t>3312</t>
        </is>
      </c>
    </row>
    <row r="120" ht="20" customHeight="1">
      <c r="A120" s="13" t="inlineStr">
        <is>
          <t>PAEA-CCISM-0119</t>
        </is>
      </c>
      <c r="B120" s="13" t="inlineStr">
        <is>
          <t>F67070</t>
        </is>
      </c>
      <c r="C120" s="14" t="inlineStr">
        <is>
          <t>PAOA-HOTUS HOWAN</t>
        </is>
      </c>
      <c r="D120" s="14" t="inlineStr">
        <is>
          <t>SERVITUDE SAGE 1 98711 PAEA</t>
        </is>
      </c>
      <c r="E120" s="14" t="inlineStr">
        <is>
          <t>Patenté (Personne Physique)</t>
        </is>
      </c>
      <c r="F120" s="14" t="inlineStr">
        <is>
          <t>Patenté</t>
        </is>
      </c>
      <c r="G120" s="13" t="inlineStr">
        <is>
          <t>5610C</t>
        </is>
      </c>
      <c r="H120" s="13" t="inlineStr">
        <is>
          <t>C</t>
        </is>
      </c>
      <c r="I120" s="14" t="inlineStr">
        <is>
          <t>Commerce</t>
        </is>
      </c>
      <c r="J120" s="15" t="n">
        <v>0</v>
      </c>
      <c r="K120" s="15" t="n">
        <v>1</v>
      </c>
      <c r="L120" s="14" t="inlineStr">
        <is>
          <t>24 1617 A</t>
        </is>
      </c>
      <c r="M120" s="14" t="inlineStr">
        <is>
          <t>M PAOA-HOTUS HOWAN</t>
        </is>
      </c>
      <c r="N120" s="14" t="inlineStr">
        <is>
          <t>Chef d entreprise</t>
        </is>
      </c>
      <c r="O120" s="15" t="inlineStr">
        <is>
          <t>3317</t>
        </is>
      </c>
    </row>
    <row r="121" ht="20" customHeight="1">
      <c r="A121" s="16" t="inlineStr">
        <is>
          <t>PAEA-CCISM-0120</t>
        </is>
      </c>
      <c r="B121" s="16" t="inlineStr">
        <is>
          <t>D88816</t>
        </is>
      </c>
      <c r="C121" s="17" t="inlineStr">
        <is>
          <t>PATII GERALDINE</t>
        </is>
      </c>
      <c r="D121" s="17" t="inlineStr">
        <is>
          <t>98711 PAEA</t>
        </is>
      </c>
      <c r="E121" s="17" t="inlineStr">
        <is>
          <t>Patenté (Personne Physique)</t>
        </is>
      </c>
      <c r="F121" s="17" t="inlineStr">
        <is>
          <t>Patenté</t>
        </is>
      </c>
      <c r="G121" s="16" t="inlineStr">
        <is>
          <t>4799B</t>
        </is>
      </c>
      <c r="H121" s="16" t="inlineStr">
        <is>
          <t>C</t>
        </is>
      </c>
      <c r="I121" s="17" t="inlineStr">
        <is>
          <t>Commerce</t>
        </is>
      </c>
      <c r="J121" s="18" t="n">
        <v>0</v>
      </c>
      <c r="K121" s="18" t="n">
        <v>1</v>
      </c>
      <c r="L121" s="17" t="inlineStr">
        <is>
          <t>20 1912 A</t>
        </is>
      </c>
      <c r="M121" s="17" t="inlineStr">
        <is>
          <t>Mme PATII GERALDINE</t>
        </is>
      </c>
      <c r="N121" s="17" t="inlineStr">
        <is>
          <t>Chef d entreprise</t>
        </is>
      </c>
      <c r="O121" s="18" t="inlineStr">
        <is>
          <t>3343</t>
        </is>
      </c>
    </row>
    <row r="122" ht="20" customHeight="1">
      <c r="A122" s="13" t="inlineStr">
        <is>
          <t>PAEA-CCISM-0121</t>
        </is>
      </c>
      <c r="B122" s="13" t="inlineStr">
        <is>
          <t>E51027</t>
        </is>
      </c>
      <c r="C122" s="14" t="inlineStr">
        <is>
          <t>PAU NEE RICHMOND MILLY VAITIRANIE</t>
        </is>
      </c>
      <c r="D122" s="14" t="inlineStr">
        <is>
          <t>98711 PAEA</t>
        </is>
      </c>
      <c r="E122" s="14" t="inlineStr">
        <is>
          <t>Patenté (Personne Physique)</t>
        </is>
      </c>
      <c r="F122" s="14" t="inlineStr">
        <is>
          <t>Patenté</t>
        </is>
      </c>
      <c r="G122" s="13" t="inlineStr">
        <is>
          <t>5610C</t>
        </is>
      </c>
      <c r="H122" s="13" t="inlineStr">
        <is>
          <t>C</t>
        </is>
      </c>
      <c r="I122" s="14" t="inlineStr">
        <is>
          <t>Commerce</t>
        </is>
      </c>
      <c r="J122" s="15" t="n">
        <v>0</v>
      </c>
      <c r="K122" s="15" t="n">
        <v>1</v>
      </c>
      <c r="L122" s="14" t="inlineStr">
        <is>
          <t>21 3049 A</t>
        </is>
      </c>
      <c r="M122" s="14" t="inlineStr">
        <is>
          <t>Mme PAU (Née RICHMOND) MILLY VAITIRANIE</t>
        </is>
      </c>
      <c r="N122" s="14" t="inlineStr">
        <is>
          <t>Chef d entreprise</t>
        </is>
      </c>
      <c r="O122" s="15" t="inlineStr">
        <is>
          <t>3347</t>
        </is>
      </c>
    </row>
    <row r="123" ht="20" customHeight="1">
      <c r="A123" s="16" t="inlineStr">
        <is>
          <t>PAEA-CCISM-0122</t>
        </is>
      </c>
      <c r="B123" s="16" t="inlineStr">
        <is>
          <t>A41399</t>
        </is>
      </c>
      <c r="C123" s="17" t="inlineStr">
        <is>
          <t>PAUTU VERANIE</t>
        </is>
      </c>
      <c r="D123" s="17" t="inlineStr">
        <is>
          <t>PAEA PK 21.100 C/MER 98711 PAEA</t>
        </is>
      </c>
      <c r="E123" s="17" t="inlineStr">
        <is>
          <t>Patenté (Personne Physique)</t>
        </is>
      </c>
      <c r="F123" s="17" t="inlineStr">
        <is>
          <t>Patenté</t>
        </is>
      </c>
      <c r="G123" s="16" t="inlineStr">
        <is>
          <t>4781Z</t>
        </is>
      </c>
      <c r="H123" s="16" t="inlineStr">
        <is>
          <t>C</t>
        </is>
      </c>
      <c r="I123" s="17" t="inlineStr">
        <is>
          <t>Commerce</t>
        </is>
      </c>
      <c r="J123" s="18" t="n">
        <v>0</v>
      </c>
      <c r="K123" s="18" t="n">
        <v>1</v>
      </c>
      <c r="L123" s="17" t="inlineStr">
        <is>
          <t>12 1670 A</t>
        </is>
      </c>
      <c r="M123" s="17" t="inlineStr">
        <is>
          <t>Mme PAUTU VERANIE</t>
        </is>
      </c>
      <c r="N123" s="17" t="inlineStr">
        <is>
          <t>Chef d entreprise</t>
        </is>
      </c>
      <c r="O123" s="18" t="inlineStr">
        <is>
          <t>3351</t>
        </is>
      </c>
    </row>
    <row r="124" ht="20" customHeight="1">
      <c r="A124" s="13" t="inlineStr">
        <is>
          <t>PAEA-CCISM-0123</t>
        </is>
      </c>
      <c r="B124" s="13" t="inlineStr">
        <is>
          <t>F78200</t>
        </is>
      </c>
      <c r="C124" s="14" t="inlineStr">
        <is>
          <t>PAWER RANGERS</t>
        </is>
      </c>
      <c r="D124" s="14" t="inlineStr">
        <is>
          <t>AL 499 TERRE HAEHAEA-TEPETI I UTA 1 PARCELLE 98711 PAEA</t>
        </is>
      </c>
      <c r="E124" s="14" t="inlineStr">
        <is>
          <t>SARL</t>
        </is>
      </c>
      <c r="F124" s="14" t="inlineStr">
        <is>
          <t>Société</t>
        </is>
      </c>
      <c r="G124" s="13" t="inlineStr">
        <is>
          <t>4799B</t>
        </is>
      </c>
      <c r="H124" s="13" t="inlineStr">
        <is>
          <t>C</t>
        </is>
      </c>
      <c r="I124" s="14" t="inlineStr">
        <is>
          <t>Commerce</t>
        </is>
      </c>
      <c r="J124" s="15" t="n">
        <v>0</v>
      </c>
      <c r="K124" s="15" t="n">
        <v>1</v>
      </c>
      <c r="L124" s="14" t="inlineStr">
        <is>
          <t>24 98 B</t>
        </is>
      </c>
      <c r="M124" s="14" t="inlineStr">
        <is>
          <t>M LEHARTEL RAIARII</t>
        </is>
      </c>
      <c r="N124" s="14" t="inlineStr">
        <is>
          <t>Gérant</t>
        </is>
      </c>
      <c r="O124" s="15" t="inlineStr">
        <is>
          <t>3355</t>
        </is>
      </c>
    </row>
    <row r="125" ht="20" customHeight="1">
      <c r="A125" s="16" t="inlineStr">
        <is>
          <t>PAEA-CCISM-0124</t>
        </is>
      </c>
      <c r="B125" s="16" t="inlineStr">
        <is>
          <t>B41728</t>
        </is>
      </c>
      <c r="C125" s="17" t="inlineStr">
        <is>
          <t>PENI GILLES ROBOAMA</t>
        </is>
      </c>
      <c r="D125" s="17" t="inlineStr">
        <is>
          <t>SERV TEURUA 98711 PAEA</t>
        </is>
      </c>
      <c r="E125" s="17" t="inlineStr">
        <is>
          <t>Patenté (Personne Physique)</t>
        </is>
      </c>
      <c r="F125" s="17" t="inlineStr">
        <is>
          <t>Patenté</t>
        </is>
      </c>
      <c r="G125" s="16" t="inlineStr">
        <is>
          <t>4789Z</t>
        </is>
      </c>
      <c r="H125" s="16" t="inlineStr">
        <is>
          <t>C</t>
        </is>
      </c>
      <c r="I125" s="17" t="inlineStr">
        <is>
          <t>Commerce</t>
        </is>
      </c>
      <c r="J125" s="18" t="n">
        <v>0</v>
      </c>
      <c r="K125" s="18" t="n">
        <v>1</v>
      </c>
      <c r="L125" s="17" t="inlineStr">
        <is>
          <t>15 631 A</t>
        </is>
      </c>
      <c r="M125" s="17" t="inlineStr">
        <is>
          <t>M PENI GILLES ROBOAMA</t>
        </is>
      </c>
      <c r="N125" s="17" t="inlineStr">
        <is>
          <t>Chef d entreprise</t>
        </is>
      </c>
      <c r="O125" s="18" t="inlineStr">
        <is>
          <t>3378</t>
        </is>
      </c>
    </row>
    <row r="126" ht="20" customHeight="1">
      <c r="A126" s="13" t="inlineStr">
        <is>
          <t>PAEA-CCISM-0125</t>
        </is>
      </c>
      <c r="B126" s="13" t="inlineStr">
        <is>
          <t>C62102</t>
        </is>
      </c>
      <c r="C126" s="14" t="inlineStr">
        <is>
          <t>PERRIER CHARLES-PHILIPPE</t>
        </is>
      </c>
      <c r="D126" s="14" t="inlineStr">
        <is>
          <t>PK 20.400 C/MER 98711 PAEA</t>
        </is>
      </c>
      <c r="E126" s="14" t="inlineStr">
        <is>
          <t>Patenté (Personne Physique)</t>
        </is>
      </c>
      <c r="F126" s="14" t="inlineStr">
        <is>
          <t>Patenté</t>
        </is>
      </c>
      <c r="G126" s="13" t="inlineStr">
        <is>
          <t>4690Z</t>
        </is>
      </c>
      <c r="H126" s="13" t="inlineStr">
        <is>
          <t>C</t>
        </is>
      </c>
      <c r="I126" s="14" t="inlineStr">
        <is>
          <t>Commerce</t>
        </is>
      </c>
      <c r="J126" s="15" t="n">
        <v>0</v>
      </c>
      <c r="K126" s="15" t="n">
        <v>1</v>
      </c>
      <c r="L126" s="14" t="inlineStr">
        <is>
          <t>20 2789 A</t>
        </is>
      </c>
      <c r="M126" s="14" t="inlineStr">
        <is>
          <t>M PERRIER CHARLES-PHILIPPE</t>
        </is>
      </c>
      <c r="N126" s="14" t="inlineStr">
        <is>
          <t>Chef d entreprise</t>
        </is>
      </c>
      <c r="O126" s="15" t="inlineStr">
        <is>
          <t>3394</t>
        </is>
      </c>
    </row>
    <row r="127" ht="20" customHeight="1">
      <c r="A127" s="16" t="inlineStr">
        <is>
          <t>PAEA-CCISM-0126</t>
        </is>
      </c>
      <c r="B127" s="16" t="inlineStr">
        <is>
          <t>351387</t>
        </is>
      </c>
      <c r="C127" s="17" t="inlineStr">
        <is>
          <t>PICARD BIANCA RAITA</t>
        </is>
      </c>
      <c r="D127" s="17" t="inlineStr">
        <is>
          <t>SERVITUDE PICARD 98711 PAEA</t>
        </is>
      </c>
      <c r="E127" s="17" t="inlineStr">
        <is>
          <t>Patenté (Personne Physique)</t>
        </is>
      </c>
      <c r="F127" s="17" t="inlineStr">
        <is>
          <t>Patenté</t>
        </is>
      </c>
      <c r="G127" s="16" t="inlineStr">
        <is>
          <t>4690Z</t>
        </is>
      </c>
      <c r="H127" s="16" t="inlineStr">
        <is>
          <t>C</t>
        </is>
      </c>
      <c r="I127" s="17" t="inlineStr">
        <is>
          <t>Commerce</t>
        </is>
      </c>
      <c r="J127" s="18" t="n">
        <v>0</v>
      </c>
      <c r="K127" s="18" t="n">
        <v>1</v>
      </c>
      <c r="L127" s="17" t="inlineStr">
        <is>
          <t>23 1846 A</t>
        </is>
      </c>
      <c r="M127" s="17" t="inlineStr">
        <is>
          <t>Mme PICARD BIANCA RAITA</t>
        </is>
      </c>
      <c r="N127" s="17" t="inlineStr">
        <is>
          <t>Chef d entreprise</t>
        </is>
      </c>
      <c r="O127" s="18" t="inlineStr">
        <is>
          <t>3449</t>
        </is>
      </c>
    </row>
    <row r="128" ht="20" customHeight="1">
      <c r="A128" s="13" t="inlineStr">
        <is>
          <t>PAEA-CCISM-0127</t>
        </is>
      </c>
      <c r="B128" s="13" t="inlineStr">
        <is>
          <t>D50154</t>
        </is>
      </c>
      <c r="C128" s="14" t="inlineStr">
        <is>
          <t>PIIVAI JOHN</t>
        </is>
      </c>
      <c r="D128" s="14" t="inlineStr">
        <is>
          <t>SERVITUDE TEAREA 98711 PAEA</t>
        </is>
      </c>
      <c r="E128" s="14" t="inlineStr">
        <is>
          <t>Patenté (Personne Physique)</t>
        </is>
      </c>
      <c r="F128" s="14" t="inlineStr">
        <is>
          <t>Patenté</t>
        </is>
      </c>
      <c r="G128" s="13" t="inlineStr">
        <is>
          <t>4799B</t>
        </is>
      </c>
      <c r="H128" s="13" t="inlineStr">
        <is>
          <t>C</t>
        </is>
      </c>
      <c r="I128" s="14" t="inlineStr">
        <is>
          <t>Commerce</t>
        </is>
      </c>
      <c r="J128" s="15" t="n">
        <v>0</v>
      </c>
      <c r="K128" s="15" t="n">
        <v>1</v>
      </c>
      <c r="L128" s="14" t="inlineStr">
        <is>
          <t>19 3233 A</t>
        </is>
      </c>
      <c r="M128" s="14" t="inlineStr">
        <is>
          <t>M PIIVAI JOHN</t>
        </is>
      </c>
      <c r="N128" s="14" t="inlineStr">
        <is>
          <t>Chef d entreprise</t>
        </is>
      </c>
      <c r="O128" s="15" t="inlineStr">
        <is>
          <t>3468</t>
        </is>
      </c>
    </row>
    <row r="129" ht="20" customHeight="1">
      <c r="A129" s="16" t="inlineStr">
        <is>
          <t>PAEA-CCISM-0128</t>
        </is>
      </c>
      <c r="B129" s="16" t="inlineStr">
        <is>
          <t>918672</t>
        </is>
      </c>
      <c r="C129" s="17" t="inlineStr">
        <is>
          <t>POROI FRANCK HEIARII</t>
        </is>
      </c>
      <c r="D129" s="17" t="inlineStr">
        <is>
          <t>98711 PAEA</t>
        </is>
      </c>
      <c r="E129" s="17" t="inlineStr">
        <is>
          <t>Patenté (Personne Physique)</t>
        </is>
      </c>
      <c r="F129" s="17" t="inlineStr">
        <is>
          <t>Patenté</t>
        </is>
      </c>
      <c r="G129" s="16" t="inlineStr">
        <is>
          <t>4799B</t>
        </is>
      </c>
      <c r="H129" s="16" t="inlineStr">
        <is>
          <t>C</t>
        </is>
      </c>
      <c r="I129" s="17" t="inlineStr">
        <is>
          <t>Commerce</t>
        </is>
      </c>
      <c r="J129" s="18" t="n">
        <v>0</v>
      </c>
      <c r="K129" s="18" t="n">
        <v>1</v>
      </c>
      <c r="L129" s="17" t="inlineStr">
        <is>
          <t>21 1939 A</t>
        </is>
      </c>
      <c r="M129" s="17" t="inlineStr">
        <is>
          <t>M POROI FRANCK HEIARII</t>
        </is>
      </c>
      <c r="N129" s="17" t="inlineStr">
        <is>
          <t>Chef d entreprise</t>
        </is>
      </c>
      <c r="O129" s="18" t="inlineStr">
        <is>
          <t>3561</t>
        </is>
      </c>
    </row>
    <row r="130" ht="20" customHeight="1">
      <c r="A130" s="13" t="inlineStr">
        <is>
          <t>PAEA-CCISM-0129</t>
        </is>
      </c>
      <c r="B130" s="13" t="inlineStr">
        <is>
          <t>F69308</t>
        </is>
      </c>
      <c r="C130" s="14" t="inlineStr">
        <is>
          <t>PUMANAWA TE NEHENEHENUI</t>
        </is>
      </c>
      <c r="D130" s="14" t="inlineStr">
        <is>
          <t>98711 PAEA</t>
        </is>
      </c>
      <c r="E130" s="14" t="inlineStr">
        <is>
          <t>SAS</t>
        </is>
      </c>
      <c r="F130" s="14" t="inlineStr">
        <is>
          <t>Société</t>
        </is>
      </c>
      <c r="G130" s="13" t="inlineStr">
        <is>
          <t>4690Z</t>
        </is>
      </c>
      <c r="H130" s="13" t="inlineStr">
        <is>
          <t>C</t>
        </is>
      </c>
      <c r="I130" s="14" t="inlineStr">
        <is>
          <t>Commerce</t>
        </is>
      </c>
      <c r="J130" s="15" t="n">
        <v>0</v>
      </c>
      <c r="K130" s="15" t="n">
        <v>1</v>
      </c>
      <c r="L130" s="14" t="inlineStr">
        <is>
          <t>24 29 B</t>
        </is>
      </c>
      <c r="M130" s="14" t="inlineStr">
        <is>
          <t>Mme PAPARA (Née REID) ANGELINA VAEA</t>
        </is>
      </c>
      <c r="N130" s="14" t="inlineStr">
        <is>
          <t>Président de SAS</t>
        </is>
      </c>
      <c r="O130" s="15" t="inlineStr">
        <is>
          <t>3608</t>
        </is>
      </c>
    </row>
    <row r="131" ht="20" customHeight="1">
      <c r="A131" s="16" t="inlineStr">
        <is>
          <t>PAEA-CCISM-0130</t>
        </is>
      </c>
      <c r="B131" s="16" t="inlineStr">
        <is>
          <t>F31894</t>
        </is>
      </c>
      <c r="C131" s="17" t="inlineStr">
        <is>
          <t>RAIITIREA</t>
        </is>
      </c>
      <c r="D131" s="17" t="inlineStr">
        <is>
          <t>98711 PAEA</t>
        </is>
      </c>
      <c r="E131" s="17" t="inlineStr">
        <is>
          <t>SARL</t>
        </is>
      </c>
      <c r="F131" s="17" t="inlineStr">
        <is>
          <t>Société</t>
        </is>
      </c>
      <c r="G131" s="16" t="inlineStr">
        <is>
          <t>4730Z</t>
        </is>
      </c>
      <c r="H131" s="16" t="inlineStr">
        <is>
          <t>C</t>
        </is>
      </c>
      <c r="I131" s="17" t="inlineStr">
        <is>
          <t>Commerce</t>
        </is>
      </c>
      <c r="J131" s="18" t="n">
        <v>5</v>
      </c>
      <c r="K131" s="18" t="n">
        <v>1</v>
      </c>
      <c r="L131" s="17" t="inlineStr">
        <is>
          <t>23 414 B</t>
        </is>
      </c>
      <c r="M131" s="17" t="inlineStr">
        <is>
          <t>M OOPA CHARLEM</t>
        </is>
      </c>
      <c r="N131" s="17" t="inlineStr">
        <is>
          <t>Gérant</t>
        </is>
      </c>
      <c r="O131" s="18" t="inlineStr">
        <is>
          <t>3658</t>
        </is>
      </c>
    </row>
    <row r="132" ht="20" customHeight="1">
      <c r="A132" s="13" t="inlineStr">
        <is>
          <t>PAEA-CCISM-0131</t>
        </is>
      </c>
      <c r="B132" s="13" t="inlineStr">
        <is>
          <t>C92984</t>
        </is>
      </c>
      <c r="C132" s="14" t="inlineStr">
        <is>
          <t>RAPARII HEIMATA PALOMA</t>
        </is>
      </c>
      <c r="D132" s="14" t="inlineStr">
        <is>
          <t>RTE RESIDENCE LES JARDINS DE PAEA BAT E.442 98711 PAEA</t>
        </is>
      </c>
      <c r="E132" s="14" t="inlineStr">
        <is>
          <t>Patenté (Personne Physique)</t>
        </is>
      </c>
      <c r="F132" s="14" t="inlineStr">
        <is>
          <t>Patenté</t>
        </is>
      </c>
      <c r="G132" s="13" t="inlineStr">
        <is>
          <t>4690Z</t>
        </is>
      </c>
      <c r="H132" s="13" t="inlineStr">
        <is>
          <t>C</t>
        </is>
      </c>
      <c r="I132" s="14" t="inlineStr">
        <is>
          <t>Commerce</t>
        </is>
      </c>
      <c r="J132" s="15" t="n">
        <v>0</v>
      </c>
      <c r="K132" s="15" t="n">
        <v>1</v>
      </c>
      <c r="L132" s="14" t="inlineStr">
        <is>
          <t>18 1940 A</t>
        </is>
      </c>
      <c r="M132" s="14" t="inlineStr">
        <is>
          <t>Mme RAPARII HEIMATA PALOMA</t>
        </is>
      </c>
      <c r="N132" s="14" t="inlineStr">
        <is>
          <t>Chef d entreprise</t>
        </is>
      </c>
      <c r="O132" s="15" t="inlineStr">
        <is>
          <t>3673</t>
        </is>
      </c>
    </row>
    <row r="133" ht="20" customHeight="1">
      <c r="A133" s="16" t="inlineStr">
        <is>
          <t>PAEA-CCISM-0132</t>
        </is>
      </c>
      <c r="B133" s="16" t="inlineStr">
        <is>
          <t>990143</t>
        </is>
      </c>
      <c r="C133" s="17" t="inlineStr">
        <is>
          <t>RENOUF NEE GAURIN LEILANIE MAREVA</t>
        </is>
      </c>
      <c r="D133" s="17" t="inlineStr">
        <is>
          <t>SERV URATUA SALMON 98711 PAEA</t>
        </is>
      </c>
      <c r="E133" s="17" t="inlineStr">
        <is>
          <t>Patenté (Personne Physique)</t>
        </is>
      </c>
      <c r="F133" s="17" t="inlineStr">
        <is>
          <t>Patenté</t>
        </is>
      </c>
      <c r="G133" s="16" t="inlineStr">
        <is>
          <t>5621Z</t>
        </is>
      </c>
      <c r="H133" s="16" t="inlineStr">
        <is>
          <t>C</t>
        </is>
      </c>
      <c r="I133" s="17" t="inlineStr">
        <is>
          <t>Commerce</t>
        </is>
      </c>
      <c r="J133" s="18" t="n">
        <v>0</v>
      </c>
      <c r="K133" s="18" t="n">
        <v>1</v>
      </c>
      <c r="L133" s="17" t="inlineStr">
        <is>
          <t>19 1777 A</t>
        </is>
      </c>
      <c r="M133" s="17" t="inlineStr">
        <is>
          <t>Mme RENOUF (Née GAURIN) LEILANIE MAREVA</t>
        </is>
      </c>
      <c r="N133" s="17" t="inlineStr">
        <is>
          <t>Chef d entreprise</t>
        </is>
      </c>
      <c r="O133" s="18" t="inlineStr">
        <is>
          <t>3715</t>
        </is>
      </c>
    </row>
    <row r="134" ht="20" customHeight="1">
      <c r="A134" s="13" t="inlineStr">
        <is>
          <t>PAEA-CCISM-0133</t>
        </is>
      </c>
      <c r="B134" s="13" t="inlineStr">
        <is>
          <t>704437</t>
        </is>
      </c>
      <c r="C134" s="14" t="inlineStr">
        <is>
          <t>RENVOYE NEE SAMG MOUIT VAITIARE MYRIAM</t>
        </is>
      </c>
      <c r="D134" s="14" t="inlineStr">
        <is>
          <t>LOTISSEMENT PAPEHUE 98711 PAEA</t>
        </is>
      </c>
      <c r="E134" s="14" t="inlineStr">
        <is>
          <t>Patenté (Personne Physique)</t>
        </is>
      </c>
      <c r="F134" s="14" t="inlineStr">
        <is>
          <t>Patenté</t>
        </is>
      </c>
      <c r="G134" s="13" t="inlineStr">
        <is>
          <t>5610C</t>
        </is>
      </c>
      <c r="H134" s="13" t="inlineStr">
        <is>
          <t>C</t>
        </is>
      </c>
      <c r="I134" s="14" t="inlineStr">
        <is>
          <t>Commerce</t>
        </is>
      </c>
      <c r="J134" s="15" t="n">
        <v>0</v>
      </c>
      <c r="K134" s="15" t="n">
        <v>1</v>
      </c>
      <c r="L134" s="14" t="inlineStr">
        <is>
          <t>24 1838 A</t>
        </is>
      </c>
      <c r="M134" s="14" t="inlineStr">
        <is>
          <t>Mme RENVOYE (Née SAMG MOUIT) VAITIARE MYRIAM</t>
        </is>
      </c>
      <c r="N134" s="14" t="inlineStr">
        <is>
          <t>Chef d entreprise</t>
        </is>
      </c>
      <c r="O134" s="15" t="inlineStr">
        <is>
          <t>3716</t>
        </is>
      </c>
    </row>
    <row r="135" ht="20" customHeight="1">
      <c r="A135" s="16" t="inlineStr">
        <is>
          <t>PAEA-CCISM-0134</t>
        </is>
      </c>
      <c r="B135" s="16" t="inlineStr">
        <is>
          <t>497560</t>
        </is>
      </c>
      <c r="C135" s="17" t="inlineStr">
        <is>
          <t>REVAE VEUVE : LE BRAS NEE REVAE ANTONINA</t>
        </is>
      </c>
      <c r="D135" s="17" t="inlineStr">
        <is>
          <t>98711 PAEA</t>
        </is>
      </c>
      <c r="E135" s="17" t="inlineStr">
        <is>
          <t>Patenté (Personne Physique)</t>
        </is>
      </c>
      <c r="F135" s="17" t="inlineStr">
        <is>
          <t>Patenté</t>
        </is>
      </c>
      <c r="G135" s="16" t="inlineStr">
        <is>
          <t>4690Z</t>
        </is>
      </c>
      <c r="H135" s="16" t="inlineStr">
        <is>
          <t>C</t>
        </is>
      </c>
      <c r="I135" s="17" t="inlineStr">
        <is>
          <t>Commerce</t>
        </is>
      </c>
      <c r="J135" s="18" t="n">
        <v>0</v>
      </c>
      <c r="K135" s="18" t="n">
        <v>1</v>
      </c>
      <c r="L135" s="17" t="inlineStr">
        <is>
          <t>23 2115 A</t>
        </is>
      </c>
      <c r="M135" s="17" t="inlineStr">
        <is>
          <t>Mme REVAE VEUVE : LE BRAS (Née REVAE) ANTONINA</t>
        </is>
      </c>
      <c r="N135" s="17" t="inlineStr">
        <is>
          <t>Chef d entreprise</t>
        </is>
      </c>
      <c r="O135" s="18" t="inlineStr">
        <is>
          <t>3736</t>
        </is>
      </c>
    </row>
    <row r="136" ht="20" customHeight="1">
      <c r="A136" s="13" t="inlineStr">
        <is>
          <t>PAEA-CCISM-0135</t>
        </is>
      </c>
      <c r="B136" s="13" t="inlineStr">
        <is>
          <t>932731</t>
        </is>
      </c>
      <c r="C136" s="14" t="inlineStr">
        <is>
          <t>RICHMOND VAHITUA THOMAS</t>
        </is>
      </c>
      <c r="D136" s="14" t="inlineStr">
        <is>
          <t>98711 PAEA</t>
        </is>
      </c>
      <c r="E136" s="14" t="inlineStr">
        <is>
          <t>Patenté (Personne Physique)</t>
        </is>
      </c>
      <c r="F136" s="14" t="inlineStr">
        <is>
          <t>Patenté</t>
        </is>
      </c>
      <c r="G136" s="13" t="inlineStr">
        <is>
          <t>4799A</t>
        </is>
      </c>
      <c r="H136" s="13" t="inlineStr">
        <is>
          <t>C</t>
        </is>
      </c>
      <c r="I136" s="14" t="inlineStr">
        <is>
          <t>Commerce</t>
        </is>
      </c>
      <c r="J136" s="15" t="n">
        <v>1</v>
      </c>
      <c r="K136" s="15" t="n">
        <v>1</v>
      </c>
      <c r="L136" s="14" t="inlineStr">
        <is>
          <t>10 101 A</t>
        </is>
      </c>
      <c r="M136" s="14" t="inlineStr">
        <is>
          <t>M RICHMOND VAHITUA THOMAS</t>
        </is>
      </c>
      <c r="N136" s="14" t="inlineStr">
        <is>
          <t>Chef d entreprise</t>
        </is>
      </c>
      <c r="O136" s="15" t="inlineStr">
        <is>
          <t>3761</t>
        </is>
      </c>
    </row>
    <row r="137" ht="20" customHeight="1">
      <c r="A137" s="16" t="inlineStr">
        <is>
          <t>PAEA-CCISM-0136</t>
        </is>
      </c>
      <c r="B137" s="16" t="inlineStr">
        <is>
          <t>D15876</t>
        </is>
      </c>
      <c r="C137" s="17" t="inlineStr">
        <is>
          <t>RVRP</t>
        </is>
      </c>
      <c r="D137" s="17" t="inlineStr">
        <is>
          <t>CENTRE COMMERCIAL MANUURA CENTRE 98711 PAEA</t>
        </is>
      </c>
      <c r="E137" s="17" t="inlineStr">
        <is>
          <t>SARL Unipersonnelle</t>
        </is>
      </c>
      <c r="F137" s="17" t="inlineStr">
        <is>
          <t>Société</t>
        </is>
      </c>
      <c r="G137" s="16" t="inlineStr">
        <is>
          <t>5610C</t>
        </is>
      </c>
      <c r="H137" s="16" t="inlineStr">
        <is>
          <t>C</t>
        </is>
      </c>
      <c r="I137" s="17" t="inlineStr">
        <is>
          <t>Commerce</t>
        </is>
      </c>
      <c r="J137" s="18" t="n">
        <v>3</v>
      </c>
      <c r="K137" s="18" t="n">
        <v>1</v>
      </c>
      <c r="L137" s="17" t="inlineStr">
        <is>
          <t>19 61 B</t>
        </is>
      </c>
      <c r="M137" s="17" t="inlineStr">
        <is>
          <t>M RICHMOND VAHITUA THOMAS</t>
        </is>
      </c>
      <c r="N137" s="17" t="inlineStr">
        <is>
          <t>Gérant</t>
        </is>
      </c>
      <c r="O137" s="18" t="inlineStr">
        <is>
          <t>3854</t>
        </is>
      </c>
    </row>
    <row r="138" ht="20" customHeight="1">
      <c r="A138" s="13" t="inlineStr">
        <is>
          <t>PAEA-CCISM-0137</t>
        </is>
      </c>
      <c r="B138" s="13" t="inlineStr">
        <is>
          <t>D24050</t>
        </is>
      </c>
      <c r="C138" s="14" t="inlineStr">
        <is>
          <t>SAFE TAHITI</t>
        </is>
      </c>
      <c r="D138" s="14" t="inlineStr">
        <is>
          <t>RTE LOTISSEMENT BOURNE LOT 17 98711 PAEA</t>
        </is>
      </c>
      <c r="E138" s="14" t="inlineStr">
        <is>
          <t>SARL</t>
        </is>
      </c>
      <c r="F138" s="14" t="inlineStr">
        <is>
          <t>Société</t>
        </is>
      </c>
      <c r="G138" s="13" t="inlineStr">
        <is>
          <t>4669B</t>
        </is>
      </c>
      <c r="H138" s="13" t="inlineStr">
        <is>
          <t>C</t>
        </is>
      </c>
      <c r="I138" s="14" t="inlineStr">
        <is>
          <t>Commerce</t>
        </is>
      </c>
      <c r="J138" s="15" t="n">
        <v>0</v>
      </c>
      <c r="K138" s="15" t="n">
        <v>1</v>
      </c>
      <c r="L138" s="14" t="inlineStr">
        <is>
          <t>19 138 B</t>
        </is>
      </c>
      <c r="M138" s="14" t="inlineStr">
        <is>
          <t>M DIAN FREDERIQUE</t>
        </is>
      </c>
      <c r="N138" s="14" t="inlineStr">
        <is>
          <t>Gérant</t>
        </is>
      </c>
      <c r="O138" s="15" t="inlineStr">
        <is>
          <t>3860</t>
        </is>
      </c>
    </row>
    <row r="139" ht="20" customHeight="1">
      <c r="A139" s="16" t="inlineStr">
        <is>
          <t>PAEA-CCISM-0138</t>
        </is>
      </c>
      <c r="B139" s="16" t="inlineStr">
        <is>
          <t>C30380</t>
        </is>
      </c>
      <c r="C139" s="17" t="inlineStr">
        <is>
          <t>SAGE GEORGES USHUAIA</t>
        </is>
      </c>
      <c r="D139" s="17" t="inlineStr">
        <is>
          <t>RTE DE LA VALLEE PAPEHUE 98711 PAEA</t>
        </is>
      </c>
      <c r="E139" s="17" t="inlineStr">
        <is>
          <t>Patenté (Personne Physique)</t>
        </is>
      </c>
      <c r="F139" s="17" t="inlineStr">
        <is>
          <t>Patenté</t>
        </is>
      </c>
      <c r="G139" s="16" t="inlineStr">
        <is>
          <t>4690Z</t>
        </is>
      </c>
      <c r="H139" s="16" t="inlineStr">
        <is>
          <t>C</t>
        </is>
      </c>
      <c r="I139" s="17" t="inlineStr">
        <is>
          <t>Commerce</t>
        </is>
      </c>
      <c r="J139" s="18" t="n">
        <v>0</v>
      </c>
      <c r="K139" s="18" t="n">
        <v>1</v>
      </c>
      <c r="L139" s="17" t="inlineStr">
        <is>
          <t>17 634 A</t>
        </is>
      </c>
      <c r="M139" s="17" t="inlineStr">
        <is>
          <t>M SAGE GEORGES USHUAIA</t>
        </is>
      </c>
      <c r="N139" s="17" t="inlineStr">
        <is>
          <t>Chef d entreprise</t>
        </is>
      </c>
      <c r="O139" s="18" t="inlineStr">
        <is>
          <t>3863</t>
        </is>
      </c>
    </row>
    <row r="140" ht="20" customHeight="1">
      <c r="A140" s="13" t="inlineStr">
        <is>
          <t>PAEA-CCISM-0139</t>
        </is>
      </c>
      <c r="B140" s="13" t="inlineStr">
        <is>
          <t>C95391</t>
        </is>
      </c>
      <c r="C140" s="14" t="inlineStr">
        <is>
          <t>SALMON RAUTEARII</t>
        </is>
      </c>
      <c r="D140" s="14" t="inlineStr">
        <is>
          <t>98711 PAEA</t>
        </is>
      </c>
      <c r="E140" s="14" t="inlineStr">
        <is>
          <t>Patenté (Personne Physique)</t>
        </is>
      </c>
      <c r="F140" s="14" t="inlineStr">
        <is>
          <t>Patenté</t>
        </is>
      </c>
      <c r="G140" s="13" t="inlineStr">
        <is>
          <t>4690Z</t>
        </is>
      </c>
      <c r="H140" s="13" t="inlineStr">
        <is>
          <t>C</t>
        </is>
      </c>
      <c r="I140" s="14" t="inlineStr">
        <is>
          <t>Commerce</t>
        </is>
      </c>
      <c r="J140" s="15" t="n">
        <v>0</v>
      </c>
      <c r="K140" s="15" t="n">
        <v>1</v>
      </c>
      <c r="L140" s="14" t="inlineStr">
        <is>
          <t>18 2135 A</t>
        </is>
      </c>
      <c r="M140" s="14" t="inlineStr">
        <is>
          <t>M SALMON RAUTEARII</t>
        </is>
      </c>
      <c r="N140" s="14" t="inlineStr">
        <is>
          <t>Chef d entreprise</t>
        </is>
      </c>
      <c r="O140" s="15" t="inlineStr">
        <is>
          <t>3877</t>
        </is>
      </c>
    </row>
    <row r="141" ht="20" customHeight="1">
      <c r="A141" s="16" t="inlineStr">
        <is>
          <t>PAEA-CCISM-0140</t>
        </is>
      </c>
      <c r="B141" s="16" t="inlineStr">
        <is>
          <t>E41051</t>
        </is>
      </c>
      <c r="C141" s="17" t="inlineStr">
        <is>
          <t>SAM-YOU VERONIQUE</t>
        </is>
      </c>
      <c r="D141" s="17" t="inlineStr">
        <is>
          <t>LOTISS O. RICHMOND 1ER GAU 98711 PAEA</t>
        </is>
      </c>
      <c r="E141" s="17" t="inlineStr">
        <is>
          <t>Patenté (Personne Physique)</t>
        </is>
      </c>
      <c r="F141" s="17" t="inlineStr">
        <is>
          <t>Patenté</t>
        </is>
      </c>
      <c r="G141" s="16" t="inlineStr">
        <is>
          <t>4690Z</t>
        </is>
      </c>
      <c r="H141" s="16" t="inlineStr">
        <is>
          <t>C</t>
        </is>
      </c>
      <c r="I141" s="17" t="inlineStr">
        <is>
          <t>Commerce</t>
        </is>
      </c>
      <c r="J141" s="18" t="n">
        <v>0</v>
      </c>
      <c r="K141" s="18" t="n">
        <v>1</v>
      </c>
      <c r="L141" s="17" t="inlineStr">
        <is>
          <t>21 2294 A</t>
        </is>
      </c>
      <c r="M141" s="17" t="inlineStr">
        <is>
          <t>Mme SAM-YOU VERONIQUE</t>
        </is>
      </c>
      <c r="N141" s="17" t="inlineStr">
        <is>
          <t>Chef d entreprise</t>
        </is>
      </c>
      <c r="O141" s="18" t="inlineStr">
        <is>
          <t>3888</t>
        </is>
      </c>
    </row>
    <row r="142" ht="20" customHeight="1">
      <c r="A142" s="13" t="inlineStr">
        <is>
          <t>PAEA-CCISM-0141</t>
        </is>
      </c>
      <c r="B142" s="13" t="inlineStr">
        <is>
          <t>C20407</t>
        </is>
      </c>
      <c r="C142" s="14" t="inlineStr">
        <is>
          <t>SARL PACIFIC BUSINESS OVERSEAS</t>
        </is>
      </c>
      <c r="D142" s="14" t="inlineStr">
        <is>
          <t>98711 PAEA</t>
        </is>
      </c>
      <c r="E142" s="14" t="inlineStr">
        <is>
          <t>SARL</t>
        </is>
      </c>
      <c r="F142" s="14" t="inlineStr">
        <is>
          <t>Société</t>
        </is>
      </c>
      <c r="G142" s="13" t="inlineStr">
        <is>
          <t>4690Z</t>
        </is>
      </c>
      <c r="H142" s="13" t="inlineStr">
        <is>
          <t>C</t>
        </is>
      </c>
      <c r="I142" s="14" t="inlineStr">
        <is>
          <t>Commerce</t>
        </is>
      </c>
      <c r="J142" s="15" t="n">
        <v>0</v>
      </c>
      <c r="K142" s="15" t="n">
        <v>1</v>
      </c>
      <c r="L142" s="14" t="inlineStr">
        <is>
          <t>17 5 B</t>
        </is>
      </c>
      <c r="M142" s="14" t="inlineStr">
        <is>
          <t>M ROBSON KEVIN PUAITA</t>
        </is>
      </c>
      <c r="N142" s="14" t="inlineStr">
        <is>
          <t>Gérant</t>
        </is>
      </c>
      <c r="O142" s="15" t="inlineStr">
        <is>
          <t>3949</t>
        </is>
      </c>
    </row>
    <row r="143" ht="20" customHeight="1">
      <c r="A143" s="16" t="inlineStr">
        <is>
          <t>PAEA-CCISM-0142</t>
        </is>
      </c>
      <c r="B143" s="16" t="inlineStr">
        <is>
          <t>C74032</t>
        </is>
      </c>
      <c r="C143" s="17" t="inlineStr">
        <is>
          <t>SELARL PHARMACIE OPUHI</t>
        </is>
      </c>
      <c r="D143" s="17" t="inlineStr">
        <is>
          <t>IMM TOTOE BEACH 98711 PAEA</t>
        </is>
      </c>
      <c r="E143" s="17" t="inlineStr">
        <is>
          <t>SELARL</t>
        </is>
      </c>
      <c r="F143" s="17" t="inlineStr">
        <is>
          <t>Société</t>
        </is>
      </c>
      <c r="G143" s="16" t="inlineStr">
        <is>
          <t>4773Z</t>
        </is>
      </c>
      <c r="H143" s="16" t="inlineStr">
        <is>
          <t>C</t>
        </is>
      </c>
      <c r="I143" s="17" t="inlineStr">
        <is>
          <t>Commerce</t>
        </is>
      </c>
      <c r="J143" s="18" t="n">
        <v>7</v>
      </c>
      <c r="K143" s="18" t="n">
        <v>2</v>
      </c>
      <c r="L143" s="17" t="inlineStr">
        <is>
          <t>18 90109</t>
        </is>
      </c>
      <c r="M143" s="17" t="inlineStr">
        <is>
          <t>Mme DUBOST (Née DUFOUR) LUCIE FRANÇOISE</t>
        </is>
      </c>
      <c r="N143" s="17" t="inlineStr">
        <is>
          <t>Gérant</t>
        </is>
      </c>
      <c r="O143" s="18" t="inlineStr">
        <is>
          <t>4020</t>
        </is>
      </c>
    </row>
    <row r="144" ht="20" customHeight="1">
      <c r="A144" s="13" t="inlineStr">
        <is>
          <t>PAEA-CCISM-0143</t>
        </is>
      </c>
      <c r="B144" s="13" t="inlineStr">
        <is>
          <t>562405</t>
        </is>
      </c>
      <c r="C144" s="14" t="inlineStr">
        <is>
          <t>SHIU SYLVIANE</t>
        </is>
      </c>
      <c r="D144" s="14" t="inlineStr">
        <is>
          <t>PAEA PK 19.400 C/MONT 98711 PAEA</t>
        </is>
      </c>
      <c r="E144" s="14" t="inlineStr">
        <is>
          <t>Patenté (Personne Physique)</t>
        </is>
      </c>
      <c r="F144" s="14" t="inlineStr">
        <is>
          <t>Patenté</t>
        </is>
      </c>
      <c r="G144" s="13" t="inlineStr">
        <is>
          <t>5610C</t>
        </is>
      </c>
      <c r="H144" s="13" t="inlineStr">
        <is>
          <t>C</t>
        </is>
      </c>
      <c r="I144" s="14" t="inlineStr">
        <is>
          <t>Commerce</t>
        </is>
      </c>
      <c r="J144" s="15" t="n">
        <v>0</v>
      </c>
      <c r="K144" s="15" t="n">
        <v>1</v>
      </c>
      <c r="L144" s="14" t="inlineStr">
        <is>
          <t>37659 A</t>
        </is>
      </c>
      <c r="M144" s="14" t="inlineStr">
        <is>
          <t>Mme SHIU SYLVIANE</t>
        </is>
      </c>
      <c r="N144" s="14" t="inlineStr">
        <is>
          <t>Chef d entreprise</t>
        </is>
      </c>
      <c r="O144" s="15" t="inlineStr">
        <is>
          <t>4051</t>
        </is>
      </c>
    </row>
    <row r="145" ht="20" customHeight="1">
      <c r="A145" s="16" t="inlineStr">
        <is>
          <t>PAEA-CCISM-0144</t>
        </is>
      </c>
      <c r="B145" s="16" t="inlineStr">
        <is>
          <t>820043</t>
        </is>
      </c>
      <c r="C145" s="17" t="inlineStr">
        <is>
          <t>SM2D</t>
        </is>
      </c>
      <c r="D145" s="17" t="inlineStr">
        <is>
          <t>PAEA PK 19 C/MONT - SERVITUDE SARCIAUX 98711 PAEA</t>
        </is>
      </c>
      <c r="E145" s="17" t="inlineStr">
        <is>
          <t>SARL</t>
        </is>
      </c>
      <c r="F145" s="17" t="inlineStr">
        <is>
          <t>Société</t>
        </is>
      </c>
      <c r="G145" s="16" t="inlineStr">
        <is>
          <t>4649Z</t>
        </is>
      </c>
      <c r="H145" s="16" t="inlineStr">
        <is>
          <t>C</t>
        </is>
      </c>
      <c r="I145" s="17" t="inlineStr">
        <is>
          <t>Commerce</t>
        </is>
      </c>
      <c r="J145" s="18" t="n">
        <v>0</v>
      </c>
      <c r="K145" s="18" t="n">
        <v>1</v>
      </c>
      <c r="L145" s="17" t="inlineStr">
        <is>
          <t>07 115 B</t>
        </is>
      </c>
      <c r="M145" s="17" t="inlineStr">
        <is>
          <t>M BERQUER SAMUEL PHILIPPE</t>
        </is>
      </c>
      <c r="N145" s="17" t="inlineStr"/>
      <c r="O145" s="18" t="inlineStr">
        <is>
          <t>4082</t>
        </is>
      </c>
    </row>
    <row r="146" ht="20" customHeight="1">
      <c r="A146" s="13" t="inlineStr">
        <is>
          <t>PAEA-CCISM-0145</t>
        </is>
      </c>
      <c r="B146" s="13" t="inlineStr">
        <is>
          <t>E07367</t>
        </is>
      </c>
      <c r="C146" s="14" t="inlineStr">
        <is>
          <t>SNACK FUKU</t>
        </is>
      </c>
      <c r="D146" s="14" t="inlineStr">
        <is>
          <t>SERVITUDE PAPEHUE FARE NOANOA LOT 35 98711 PAEA</t>
        </is>
      </c>
      <c r="E146" s="14" t="inlineStr">
        <is>
          <t>SARL</t>
        </is>
      </c>
      <c r="F146" s="14" t="inlineStr">
        <is>
          <t>Société</t>
        </is>
      </c>
      <c r="G146" s="13" t="inlineStr">
        <is>
          <t>5610C</t>
        </is>
      </c>
      <c r="H146" s="13" t="inlineStr">
        <is>
          <t>C</t>
        </is>
      </c>
      <c r="I146" s="14" t="inlineStr">
        <is>
          <t>Commerce</t>
        </is>
      </c>
      <c r="J146" s="15" t="n">
        <v>6</v>
      </c>
      <c r="K146" s="15" t="n">
        <v>2</v>
      </c>
      <c r="L146" s="14" t="inlineStr">
        <is>
          <t>21 56 B</t>
        </is>
      </c>
      <c r="M146" s="14" t="inlineStr">
        <is>
          <t>M CHISAKA YOSHIAKI</t>
        </is>
      </c>
      <c r="N146" s="14" t="inlineStr">
        <is>
          <t>Gérant</t>
        </is>
      </c>
      <c r="O146" s="15" t="inlineStr">
        <is>
          <t>4090</t>
        </is>
      </c>
    </row>
    <row r="147" ht="20" customHeight="1">
      <c r="A147" s="16" t="inlineStr">
        <is>
          <t>PAEA-CCISM-0146</t>
        </is>
      </c>
      <c r="B147" s="16" t="inlineStr">
        <is>
          <t>A94570</t>
        </is>
      </c>
      <c r="C147" s="17" t="inlineStr">
        <is>
          <t>SOCIETE COMMERCIALE DE PAEA</t>
        </is>
      </c>
      <c r="D147" s="17" t="inlineStr">
        <is>
          <t>98711 PAEA</t>
        </is>
      </c>
      <c r="E147" s="17" t="inlineStr">
        <is>
          <t>SAS</t>
        </is>
      </c>
      <c r="F147" s="17" t="inlineStr">
        <is>
          <t>Société</t>
        </is>
      </c>
      <c r="G147" s="16" t="inlineStr">
        <is>
          <t>4711D</t>
        </is>
      </c>
      <c r="H147" s="16" t="inlineStr">
        <is>
          <t>C</t>
        </is>
      </c>
      <c r="I147" s="17" t="inlineStr">
        <is>
          <t>Commerce</t>
        </is>
      </c>
      <c r="J147" s="18" t="n">
        <v>33</v>
      </c>
      <c r="K147" s="18" t="n">
        <v>3</v>
      </c>
      <c r="L147" s="17" t="inlineStr">
        <is>
          <t>14 20 B</t>
        </is>
      </c>
      <c r="M147" s="17" t="inlineStr">
        <is>
          <t>Mme WANE NANCY</t>
        </is>
      </c>
      <c r="N147" s="17" t="inlineStr">
        <is>
          <t>Président de SAS</t>
        </is>
      </c>
      <c r="O147" s="18" t="inlineStr">
        <is>
          <t>4111</t>
        </is>
      </c>
    </row>
    <row r="148" ht="20" customHeight="1">
      <c r="A148" s="13" t="inlineStr">
        <is>
          <t>PAEA-CCISM-0147</t>
        </is>
      </c>
      <c r="B148" s="13" t="inlineStr">
        <is>
          <t>C56641</t>
        </is>
      </c>
      <c r="C148" s="14" t="inlineStr">
        <is>
          <t>SOCIETE DE GESTION D'APPROVISIONNEMENT ET DE MARKETING</t>
        </is>
      </c>
      <c r="D148" s="14" t="inlineStr">
        <is>
          <t>98711 PAEA</t>
        </is>
      </c>
      <c r="E148" s="14" t="inlineStr">
        <is>
          <t>SARL</t>
        </is>
      </c>
      <c r="F148" s="14" t="inlineStr">
        <is>
          <t>Société</t>
        </is>
      </c>
      <c r="G148" s="13" t="inlineStr">
        <is>
          <t>4690Z</t>
        </is>
      </c>
      <c r="H148" s="13" t="inlineStr">
        <is>
          <t>C</t>
        </is>
      </c>
      <c r="I148" s="14" t="inlineStr">
        <is>
          <t>Commerce</t>
        </is>
      </c>
      <c r="J148" s="15" t="n">
        <v>3</v>
      </c>
      <c r="K148" s="15" t="n">
        <v>1</v>
      </c>
      <c r="L148" s="14" t="inlineStr">
        <is>
          <t>17 305 B</t>
        </is>
      </c>
      <c r="M148" s="14" t="inlineStr">
        <is>
          <t>M JIMENEZ STEPHANE ANTOINE</t>
        </is>
      </c>
      <c r="N148" s="14" t="inlineStr">
        <is>
          <t>Gérant</t>
        </is>
      </c>
      <c r="O148" s="15" t="inlineStr">
        <is>
          <t>4122</t>
        </is>
      </c>
    </row>
    <row r="149" ht="20" customHeight="1">
      <c r="A149" s="16" t="inlineStr">
        <is>
          <t>PAEA-CCISM-0148</t>
        </is>
      </c>
      <c r="B149" s="16" t="inlineStr">
        <is>
          <t>599076</t>
        </is>
      </c>
      <c r="C149" s="17" t="inlineStr">
        <is>
          <t>STE DE DISTRIBUTION DE PAEA</t>
        </is>
      </c>
      <c r="D149" s="17" t="inlineStr">
        <is>
          <t>98711 PAEA</t>
        </is>
      </c>
      <c r="E149" s="17" t="inlineStr">
        <is>
          <t>SARL</t>
        </is>
      </c>
      <c r="F149" s="17" t="inlineStr">
        <is>
          <t>Société</t>
        </is>
      </c>
      <c r="G149" s="16" t="inlineStr">
        <is>
          <t>4711C</t>
        </is>
      </c>
      <c r="H149" s="16" t="inlineStr">
        <is>
          <t>C</t>
        </is>
      </c>
      <c r="I149" s="17" t="inlineStr">
        <is>
          <t>Commerce</t>
        </is>
      </c>
      <c r="J149" s="18" t="n">
        <v>21</v>
      </c>
      <c r="K149" s="18" t="n">
        <v>3</v>
      </c>
      <c r="L149" s="17" t="inlineStr">
        <is>
          <t>8443 B</t>
        </is>
      </c>
      <c r="M149" s="17" t="inlineStr">
        <is>
          <t>M DUFOUR CHRISTOPHE</t>
        </is>
      </c>
      <c r="N149" s="17" t="inlineStr"/>
      <c r="O149" s="18" t="inlineStr">
        <is>
          <t>4205</t>
        </is>
      </c>
    </row>
    <row r="150" ht="20" customHeight="1">
      <c r="A150" s="13" t="inlineStr">
        <is>
          <t>PAEA-CCISM-0149</t>
        </is>
      </c>
      <c r="B150" s="13" t="inlineStr">
        <is>
          <t>418335</t>
        </is>
      </c>
      <c r="C150" s="14" t="inlineStr">
        <is>
          <t>SUISIN SERGE</t>
        </is>
      </c>
      <c r="D150" s="14" t="inlineStr">
        <is>
          <t>98711 PAEA</t>
        </is>
      </c>
      <c r="E150" s="14" t="inlineStr">
        <is>
          <t>Patenté (Personne Physique)</t>
        </is>
      </c>
      <c r="F150" s="14" t="inlineStr">
        <is>
          <t>Patenté</t>
        </is>
      </c>
      <c r="G150" s="13" t="inlineStr">
        <is>
          <t>4711B</t>
        </is>
      </c>
      <c r="H150" s="13" t="inlineStr">
        <is>
          <t>C</t>
        </is>
      </c>
      <c r="I150" s="14" t="inlineStr">
        <is>
          <t>Commerce</t>
        </is>
      </c>
      <c r="J150" s="15" t="n">
        <v>2</v>
      </c>
      <c r="K150" s="15" t="n">
        <v>1</v>
      </c>
      <c r="L150" s="14" t="inlineStr"/>
      <c r="M150" s="14" t="inlineStr">
        <is>
          <t>28085 A</t>
        </is>
      </c>
      <c r="N150" s="14" t="inlineStr"/>
      <c r="O150" s="15" t="inlineStr"/>
    </row>
    <row r="151" ht="20" customHeight="1">
      <c r="A151" s="16" t="inlineStr">
        <is>
          <t>PAEA-CCISM-0150</t>
        </is>
      </c>
      <c r="B151" s="16" t="inlineStr">
        <is>
          <t>C62540</t>
        </is>
      </c>
      <c r="C151" s="17" t="inlineStr">
        <is>
          <t>TAHITI DIRECT IMPORT</t>
        </is>
      </c>
      <c r="D151" s="17" t="inlineStr">
        <is>
          <t>RTE DU LOTISSEMENT PAPEHUE LOT N°AA93 98711 PAEA</t>
        </is>
      </c>
      <c r="E151" s="17" t="inlineStr">
        <is>
          <t>SARL</t>
        </is>
      </c>
      <c r="F151" s="17" t="inlineStr">
        <is>
          <t>Société</t>
        </is>
      </c>
      <c r="G151" s="16" t="inlineStr">
        <is>
          <t>4690Z</t>
        </is>
      </c>
      <c r="H151" s="16" t="inlineStr">
        <is>
          <t>C</t>
        </is>
      </c>
      <c r="I151" s="17" t="inlineStr">
        <is>
          <t>Commerce</t>
        </is>
      </c>
      <c r="J151" s="18" t="n">
        <v>4</v>
      </c>
      <c r="K151" s="18" t="n">
        <v>1</v>
      </c>
      <c r="L151" s="17" t="inlineStr">
        <is>
          <t>17 374 B</t>
        </is>
      </c>
      <c r="M151" s="17" t="inlineStr">
        <is>
          <t>M JUIF PATRICK MAURICE</t>
        </is>
      </c>
      <c r="N151" s="17" t="inlineStr">
        <is>
          <t>Gérant</t>
        </is>
      </c>
      <c r="O151" s="18" t="inlineStr">
        <is>
          <t>4340</t>
        </is>
      </c>
    </row>
    <row r="152" ht="20" customHeight="1">
      <c r="A152" s="13" t="inlineStr">
        <is>
          <t>PAEA-CCISM-0151</t>
        </is>
      </c>
      <c r="B152" s="13" t="inlineStr">
        <is>
          <t>C06786</t>
        </is>
      </c>
      <c r="C152" s="14" t="inlineStr">
        <is>
          <t>TAHITI FENG SHUI</t>
        </is>
      </c>
      <c r="D152" s="14" t="inlineStr">
        <is>
          <t>ROITE ARAHURAHU 98711 PAEA</t>
        </is>
      </c>
      <c r="E152" s="14" t="inlineStr">
        <is>
          <t>SARL</t>
        </is>
      </c>
      <c r="F152" s="14" t="inlineStr">
        <is>
          <t>Société</t>
        </is>
      </c>
      <c r="G152" s="13" t="inlineStr">
        <is>
          <t>4690Z</t>
        </is>
      </c>
      <c r="H152" s="13" t="inlineStr">
        <is>
          <t>C</t>
        </is>
      </c>
      <c r="I152" s="14" t="inlineStr">
        <is>
          <t>Commerce</t>
        </is>
      </c>
      <c r="J152" s="15" t="n">
        <v>1</v>
      </c>
      <c r="K152" s="15" t="n">
        <v>1</v>
      </c>
      <c r="L152" s="14" t="inlineStr">
        <is>
          <t>16 254 B</t>
        </is>
      </c>
      <c r="M152" s="14" t="inlineStr">
        <is>
          <t>M LAUT GABRIEL</t>
        </is>
      </c>
      <c r="N152" s="14" t="inlineStr">
        <is>
          <t>Gérant</t>
        </is>
      </c>
      <c r="O152" s="15" t="inlineStr">
        <is>
          <t>4349</t>
        </is>
      </c>
    </row>
    <row r="153" ht="20" customHeight="1">
      <c r="A153" s="16" t="inlineStr">
        <is>
          <t>PAEA-CCISM-0152</t>
        </is>
      </c>
      <c r="B153" s="16" t="inlineStr">
        <is>
          <t>D19654</t>
        </is>
      </c>
      <c r="C153" s="17" t="inlineStr">
        <is>
          <t>TAHITI HARDWARE STORE</t>
        </is>
      </c>
      <c r="D153" s="17" t="inlineStr">
        <is>
          <t>98711 PAEA</t>
        </is>
      </c>
      <c r="E153" s="17" t="inlineStr">
        <is>
          <t>SARL</t>
        </is>
      </c>
      <c r="F153" s="17" t="inlineStr">
        <is>
          <t>Société</t>
        </is>
      </c>
      <c r="G153" s="16" t="inlineStr">
        <is>
          <t>4752A</t>
        </is>
      </c>
      <c r="H153" s="16" t="inlineStr">
        <is>
          <t>C</t>
        </is>
      </c>
      <c r="I153" s="17" t="inlineStr">
        <is>
          <t>Commerce</t>
        </is>
      </c>
      <c r="J153" s="18" t="n">
        <v>4</v>
      </c>
      <c r="K153" s="18" t="n">
        <v>1</v>
      </c>
      <c r="L153" s="17" t="inlineStr">
        <is>
          <t>19 92 B</t>
        </is>
      </c>
      <c r="M153" s="17" t="inlineStr">
        <is>
          <t>M MONTARON PHILIBERT VEROARII J</t>
        </is>
      </c>
      <c r="N153" s="17" t="inlineStr">
        <is>
          <t>Autre</t>
        </is>
      </c>
      <c r="O153" s="18" t="inlineStr">
        <is>
          <t>4357</t>
        </is>
      </c>
    </row>
    <row r="154" ht="20" customHeight="1">
      <c r="A154" s="13" t="inlineStr">
        <is>
          <t>PAEA-CCISM-0153</t>
        </is>
      </c>
      <c r="B154" s="13" t="inlineStr">
        <is>
          <t>B46172</t>
        </is>
      </c>
      <c r="C154" s="14" t="inlineStr">
        <is>
          <t>TAHITI LITERIE EURL</t>
        </is>
      </c>
      <c r="D154" s="14" t="inlineStr">
        <is>
          <t>QT MONTARON 98711 PAEA</t>
        </is>
      </c>
      <c r="E154" s="14" t="inlineStr">
        <is>
          <t>SARL</t>
        </is>
      </c>
      <c r="F154" s="14" t="inlineStr">
        <is>
          <t>Société</t>
        </is>
      </c>
      <c r="G154" s="13" t="inlineStr">
        <is>
          <t>4690Z</t>
        </is>
      </c>
      <c r="H154" s="13" t="inlineStr">
        <is>
          <t>C</t>
        </is>
      </c>
      <c r="I154" s="14" t="inlineStr">
        <is>
          <t>Commerce</t>
        </is>
      </c>
      <c r="J154" s="15" t="n">
        <v>0</v>
      </c>
      <c r="K154" s="15" t="n">
        <v>1</v>
      </c>
      <c r="L154" s="14" t="inlineStr">
        <is>
          <t>15 95 B</t>
        </is>
      </c>
      <c r="M154" s="14" t="inlineStr">
        <is>
          <t>M MASSOUTIER MARC TINORUA</t>
        </is>
      </c>
      <c r="N154" s="14" t="inlineStr">
        <is>
          <t>Gérant</t>
        </is>
      </c>
      <c r="O154" s="15" t="inlineStr">
        <is>
          <t>4362</t>
        </is>
      </c>
    </row>
    <row r="155" ht="20" customHeight="1">
      <c r="A155" s="16" t="inlineStr">
        <is>
          <t>PAEA-CCISM-0154</t>
        </is>
      </c>
      <c r="B155" s="16" t="inlineStr">
        <is>
          <t>C73349</t>
        </is>
      </c>
      <c r="C155" s="17" t="inlineStr">
        <is>
          <t>TAIARUI ENDY</t>
        </is>
      </c>
      <c r="D155" s="17" t="inlineStr">
        <is>
          <t>SERVITUDE KECK FROGIER 98711 PAEA</t>
        </is>
      </c>
      <c r="E155" s="17" t="inlineStr">
        <is>
          <t>Patenté (Personne Physique)</t>
        </is>
      </c>
      <c r="F155" s="17" t="inlineStr">
        <is>
          <t>Patenté</t>
        </is>
      </c>
      <c r="G155" s="16" t="inlineStr">
        <is>
          <t>4799B</t>
        </is>
      </c>
      <c r="H155" s="16" t="inlineStr">
        <is>
          <t>C</t>
        </is>
      </c>
      <c r="I155" s="17" t="inlineStr">
        <is>
          <t>Commerce</t>
        </is>
      </c>
      <c r="J155" s="18" t="n">
        <v>0</v>
      </c>
      <c r="K155" s="18" t="n">
        <v>1</v>
      </c>
      <c r="L155" s="17" t="inlineStr">
        <is>
          <t>18 651 A</t>
        </is>
      </c>
      <c r="M155" s="17" t="inlineStr">
        <is>
          <t>M TAIARUI ENDY</t>
        </is>
      </c>
      <c r="N155" s="17" t="inlineStr">
        <is>
          <t>Chef d entreprise</t>
        </is>
      </c>
      <c r="O155" s="18" t="inlineStr">
        <is>
          <t>4412</t>
        </is>
      </c>
    </row>
    <row r="156" ht="20" customHeight="1">
      <c r="A156" s="13" t="inlineStr">
        <is>
          <t>PAEA-CCISM-0155</t>
        </is>
      </c>
      <c r="B156" s="13" t="inlineStr">
        <is>
          <t>A50010</t>
        </is>
      </c>
      <c r="C156" s="14" t="inlineStr">
        <is>
          <t>TAIURI TEROURU CATHY</t>
        </is>
      </c>
      <c r="D156" s="14" t="inlineStr">
        <is>
          <t>RTE DU LOTISSEMENT VAITIARE 2 98711 PAEA</t>
        </is>
      </c>
      <c r="E156" s="14" t="inlineStr">
        <is>
          <t>Patenté (Personne Physique)</t>
        </is>
      </c>
      <c r="F156" s="14" t="inlineStr">
        <is>
          <t>Patenté</t>
        </is>
      </c>
      <c r="G156" s="13" t="inlineStr">
        <is>
          <t>4690Z</t>
        </is>
      </c>
      <c r="H156" s="13" t="inlineStr">
        <is>
          <t>C</t>
        </is>
      </c>
      <c r="I156" s="14" t="inlineStr">
        <is>
          <t>Commerce</t>
        </is>
      </c>
      <c r="J156" s="15" t="n">
        <v>0</v>
      </c>
      <c r="K156" s="15" t="n">
        <v>1</v>
      </c>
      <c r="L156" s="14" t="inlineStr">
        <is>
          <t>18 966 A</t>
        </is>
      </c>
      <c r="M156" s="14" t="inlineStr">
        <is>
          <t>Mme TAIURI TEROURU CATHY</t>
        </is>
      </c>
      <c r="N156" s="14" t="inlineStr">
        <is>
          <t>Chef d entreprise</t>
        </is>
      </c>
      <c r="O156" s="15" t="inlineStr">
        <is>
          <t>4431</t>
        </is>
      </c>
    </row>
    <row r="157" ht="20" customHeight="1">
      <c r="A157" s="16" t="inlineStr">
        <is>
          <t>PAEA-CCISM-0156</t>
        </is>
      </c>
      <c r="B157" s="16" t="inlineStr">
        <is>
          <t>F32041</t>
        </is>
      </c>
      <c r="C157" s="17" t="inlineStr">
        <is>
          <t>TAMA NEE AMO NINA</t>
        </is>
      </c>
      <c r="D157" s="17" t="inlineStr">
        <is>
          <t>98711 PAEA</t>
        </is>
      </c>
      <c r="E157" s="17" t="inlineStr">
        <is>
          <t>Patenté (Personne Physique)</t>
        </is>
      </c>
      <c r="F157" s="17" t="inlineStr">
        <is>
          <t>Patenté</t>
        </is>
      </c>
      <c r="G157" s="16" t="inlineStr">
        <is>
          <t>4690Z</t>
        </is>
      </c>
      <c r="H157" s="16" t="inlineStr">
        <is>
          <t>C</t>
        </is>
      </c>
      <c r="I157" s="17" t="inlineStr">
        <is>
          <t>Commerce</t>
        </is>
      </c>
      <c r="J157" s="18" t="n">
        <v>2</v>
      </c>
      <c r="K157" s="18" t="n">
        <v>1</v>
      </c>
      <c r="L157" s="17" t="inlineStr">
        <is>
          <t>23 1248 A</t>
        </is>
      </c>
      <c r="M157" s="17" t="inlineStr">
        <is>
          <t>Mme TAMA (Née AMO) NINA</t>
        </is>
      </c>
      <c r="N157" s="17" t="inlineStr">
        <is>
          <t>Chef d entreprise</t>
        </is>
      </c>
      <c r="O157" s="18" t="inlineStr">
        <is>
          <t>4444</t>
        </is>
      </c>
    </row>
    <row r="158" ht="20" customHeight="1">
      <c r="A158" s="13" t="inlineStr">
        <is>
          <t>PAEA-CCISM-0157</t>
        </is>
      </c>
      <c r="B158" s="13" t="inlineStr">
        <is>
          <t>D09101</t>
        </is>
      </c>
      <c r="C158" s="14" t="inlineStr">
        <is>
          <t>TAMARINO KALANI TEANUANUA</t>
        </is>
      </c>
      <c r="D158" s="14" t="inlineStr">
        <is>
          <t>DERRIERE STADE MANU URA 98711 PAEA</t>
        </is>
      </c>
      <c r="E158" s="14" t="inlineStr">
        <is>
          <t>Patenté (Personne Physique)</t>
        </is>
      </c>
      <c r="F158" s="14" t="inlineStr">
        <is>
          <t>Patenté</t>
        </is>
      </c>
      <c r="G158" s="13" t="inlineStr">
        <is>
          <t>4690Z</t>
        </is>
      </c>
      <c r="H158" s="13" t="inlineStr">
        <is>
          <t>C</t>
        </is>
      </c>
      <c r="I158" s="14" t="inlineStr">
        <is>
          <t>Commerce</t>
        </is>
      </c>
      <c r="J158" s="15" t="n">
        <v>1</v>
      </c>
      <c r="K158" s="15" t="n">
        <v>1</v>
      </c>
      <c r="L158" s="14" t="inlineStr">
        <is>
          <t>19 407 A</t>
        </is>
      </c>
      <c r="M158" s="14" t="inlineStr">
        <is>
          <t>M TAMARINO KALANI TEANUANUA</t>
        </is>
      </c>
      <c r="N158" s="14" t="inlineStr">
        <is>
          <t>Chef d entreprise</t>
        </is>
      </c>
      <c r="O158" s="15" t="inlineStr">
        <is>
          <t>4469</t>
        </is>
      </c>
    </row>
    <row r="159" ht="20" customHeight="1">
      <c r="A159" s="16" t="inlineStr">
        <is>
          <t>PAEA-CCISM-0158</t>
        </is>
      </c>
      <c r="B159" s="16" t="inlineStr">
        <is>
          <t>D57514</t>
        </is>
      </c>
      <c r="C159" s="17" t="inlineStr">
        <is>
          <t>TARATI NEE TERIITUA LUCIE TERAI</t>
        </is>
      </c>
      <c r="D159" s="17" t="inlineStr">
        <is>
          <t>QTIER TERIITUA 98711 PAEA</t>
        </is>
      </c>
      <c r="E159" s="17" t="inlineStr">
        <is>
          <t>Patenté (Personne Physique)</t>
        </is>
      </c>
      <c r="F159" s="17" t="inlineStr">
        <is>
          <t>Patenté</t>
        </is>
      </c>
      <c r="G159" s="16" t="inlineStr">
        <is>
          <t>4799B</t>
        </is>
      </c>
      <c r="H159" s="16" t="inlineStr">
        <is>
          <t>C</t>
        </is>
      </c>
      <c r="I159" s="17" t="inlineStr">
        <is>
          <t>Commerce</t>
        </is>
      </c>
      <c r="J159" s="18" t="n">
        <v>0</v>
      </c>
      <c r="K159" s="18" t="n">
        <v>1</v>
      </c>
      <c r="L159" s="17" t="inlineStr">
        <is>
          <t>20 49 A</t>
        </is>
      </c>
      <c r="M159" s="17" t="inlineStr">
        <is>
          <t>Mme TARATI (Née TERIITUA) LUCIE TERAI</t>
        </is>
      </c>
      <c r="N159" s="17" t="inlineStr">
        <is>
          <t>Chef d entreprise</t>
        </is>
      </c>
      <c r="O159" s="18" t="inlineStr">
        <is>
          <t>4545</t>
        </is>
      </c>
    </row>
    <row r="160" ht="20" customHeight="1">
      <c r="A160" s="13" t="inlineStr">
        <is>
          <t>PAEA-CCISM-0159</t>
        </is>
      </c>
      <c r="B160" s="13" t="inlineStr">
        <is>
          <t>E25229</t>
        </is>
      </c>
      <c r="C160" s="14" t="inlineStr">
        <is>
          <t>TAUOTAHA TAMAUI</t>
        </is>
      </c>
      <c r="D160" s="14" t="inlineStr">
        <is>
          <t>98711 PAEA</t>
        </is>
      </c>
      <c r="E160" s="14" t="inlineStr">
        <is>
          <t>Patenté (Personne Physique)</t>
        </is>
      </c>
      <c r="F160" s="14" t="inlineStr">
        <is>
          <t>Patenté</t>
        </is>
      </c>
      <c r="G160" s="13" t="inlineStr">
        <is>
          <t>4690Z</t>
        </is>
      </c>
      <c r="H160" s="13" t="inlineStr">
        <is>
          <t>C</t>
        </is>
      </c>
      <c r="I160" s="14" t="inlineStr">
        <is>
          <t>Commerce</t>
        </is>
      </c>
      <c r="J160" s="15" t="n">
        <v>0</v>
      </c>
      <c r="K160" s="15" t="n">
        <v>1</v>
      </c>
      <c r="L160" s="14" t="inlineStr">
        <is>
          <t>21 1242 A</t>
        </is>
      </c>
      <c r="M160" s="14" t="inlineStr">
        <is>
          <t>M TAUOTAHA TAMAUI</t>
        </is>
      </c>
      <c r="N160" s="14" t="inlineStr">
        <is>
          <t>Chef d entreprise</t>
        </is>
      </c>
      <c r="O160" s="15" t="inlineStr">
        <is>
          <t>4581</t>
        </is>
      </c>
    </row>
    <row r="161" ht="20" customHeight="1">
      <c r="A161" s="16" t="inlineStr">
        <is>
          <t>PAEA-CCISM-0160</t>
        </is>
      </c>
      <c r="B161" s="16" t="inlineStr">
        <is>
          <t>D99680</t>
        </is>
      </c>
      <c r="C161" s="17" t="inlineStr">
        <is>
          <t>TAUPOTINI TEIKI</t>
        </is>
      </c>
      <c r="D161" s="17" t="inlineStr">
        <is>
          <t>RTE SERVITUDE BRILLANT PK 22.2 C/MONT 98711 PAEA</t>
        </is>
      </c>
      <c r="E161" s="17" t="inlineStr">
        <is>
          <t>Patenté (Personne Physique)</t>
        </is>
      </c>
      <c r="F161" s="17" t="inlineStr">
        <is>
          <t>Patenté</t>
        </is>
      </c>
      <c r="G161" s="16" t="inlineStr">
        <is>
          <t>4690Z</t>
        </is>
      </c>
      <c r="H161" s="16" t="inlineStr">
        <is>
          <t>C</t>
        </is>
      </c>
      <c r="I161" s="17" t="inlineStr">
        <is>
          <t>Commerce</t>
        </is>
      </c>
      <c r="J161" s="18" t="n">
        <v>0</v>
      </c>
      <c r="K161" s="18" t="n">
        <v>1</v>
      </c>
      <c r="L161" s="17" t="inlineStr">
        <is>
          <t>20 2624 A</t>
        </is>
      </c>
      <c r="M161" s="17" t="inlineStr">
        <is>
          <t>M TAUPOTINI TEIKI</t>
        </is>
      </c>
      <c r="N161" s="17" t="inlineStr">
        <is>
          <t>Chef d entreprise</t>
        </is>
      </c>
      <c r="O161" s="18" t="inlineStr">
        <is>
          <t>4584</t>
        </is>
      </c>
    </row>
    <row r="162" ht="20" customHeight="1">
      <c r="A162" s="13" t="inlineStr">
        <is>
          <t>PAEA-CCISM-0161</t>
        </is>
      </c>
      <c r="B162" s="13" t="inlineStr">
        <is>
          <t>984013</t>
        </is>
      </c>
      <c r="C162" s="14" t="inlineStr">
        <is>
          <t>TAURUA STEPHANIE TETUA</t>
        </is>
      </c>
      <c r="D162" s="14" t="inlineStr">
        <is>
          <t>RESID.LES JARDINS DE PAEA 98711 PAEA</t>
        </is>
      </c>
      <c r="E162" s="14" t="inlineStr">
        <is>
          <t>Patenté (Personne Physique)</t>
        </is>
      </c>
      <c r="F162" s="14" t="inlineStr">
        <is>
          <t>Patenté</t>
        </is>
      </c>
      <c r="G162" s="13" t="inlineStr">
        <is>
          <t>4690Z</t>
        </is>
      </c>
      <c r="H162" s="13" t="inlineStr">
        <is>
          <t>C</t>
        </is>
      </c>
      <c r="I162" s="14" t="inlineStr">
        <is>
          <t>Commerce</t>
        </is>
      </c>
      <c r="J162" s="15" t="n">
        <v>0</v>
      </c>
      <c r="K162" s="15" t="n">
        <v>1</v>
      </c>
      <c r="L162" s="14" t="inlineStr">
        <is>
          <t>12 1300 A</t>
        </is>
      </c>
      <c r="M162" s="14" t="inlineStr">
        <is>
          <t>Mme TAURUA STEPHANIE TETUA</t>
        </is>
      </c>
      <c r="N162" s="14" t="inlineStr">
        <is>
          <t>Chef d entreprise</t>
        </is>
      </c>
      <c r="O162" s="15" t="inlineStr">
        <is>
          <t>4598</t>
        </is>
      </c>
    </row>
    <row r="163" ht="20" customHeight="1">
      <c r="A163" s="16" t="inlineStr">
        <is>
          <t>PAEA-CCISM-0162</t>
        </is>
      </c>
      <c r="B163" s="16" t="inlineStr">
        <is>
          <t>G11134</t>
        </is>
      </c>
      <c r="C163" s="17" t="inlineStr">
        <is>
          <t>TCHEN NEHEITI</t>
        </is>
      </c>
      <c r="D163" s="17" t="inlineStr">
        <is>
          <t>SERVITUDE AMATAHIAPO N° 26 98711 PAEA</t>
        </is>
      </c>
      <c r="E163" s="17" t="inlineStr">
        <is>
          <t>Patenté (Personne Physique)</t>
        </is>
      </c>
      <c r="F163" s="17" t="inlineStr">
        <is>
          <t>Patenté</t>
        </is>
      </c>
      <c r="G163" s="16" t="inlineStr">
        <is>
          <t>4799B</t>
        </is>
      </c>
      <c r="H163" s="16" t="inlineStr">
        <is>
          <t>C</t>
        </is>
      </c>
      <c r="I163" s="17" t="inlineStr">
        <is>
          <t>Commerce</t>
        </is>
      </c>
      <c r="J163" s="18" t="n">
        <v>0</v>
      </c>
      <c r="K163" s="18" t="n">
        <v>1</v>
      </c>
      <c r="L163" s="17" t="inlineStr">
        <is>
          <t>25 331 A</t>
        </is>
      </c>
      <c r="M163" s="17" t="inlineStr">
        <is>
          <t>Mme TCHEN NEHEITI</t>
        </is>
      </c>
      <c r="N163" s="17" t="inlineStr">
        <is>
          <t>Chef d entreprise</t>
        </is>
      </c>
      <c r="O163" s="18" t="inlineStr">
        <is>
          <t>4635</t>
        </is>
      </c>
    </row>
    <row r="164" ht="20" customHeight="1">
      <c r="A164" s="13" t="inlineStr">
        <is>
          <t>PAEA-CCISM-0163</t>
        </is>
      </c>
      <c r="B164" s="13" t="inlineStr">
        <is>
          <t>B55561</t>
        </is>
      </c>
      <c r="C164" s="14" t="inlineStr">
        <is>
          <t>TEAMOTUAITAU AUDREY, HEIMIRI,</t>
        </is>
      </c>
      <c r="D164" s="14" t="inlineStr">
        <is>
          <t>305 RESIDENCE LES JARDINS DE PAEA 98711 PAEA</t>
        </is>
      </c>
      <c r="E164" s="14" t="inlineStr">
        <is>
          <t>Patenté (Personne Physique)</t>
        </is>
      </c>
      <c r="F164" s="14" t="inlineStr">
        <is>
          <t>Patenté</t>
        </is>
      </c>
      <c r="G164" s="13" t="inlineStr">
        <is>
          <t>4690Z</t>
        </is>
      </c>
      <c r="H164" s="13" t="inlineStr">
        <is>
          <t>C</t>
        </is>
      </c>
      <c r="I164" s="14" t="inlineStr">
        <is>
          <t>Commerce</t>
        </is>
      </c>
      <c r="J164" s="15" t="n">
        <v>0</v>
      </c>
      <c r="K164" s="15" t="n">
        <v>1</v>
      </c>
      <c r="L164" s="14" t="inlineStr">
        <is>
          <t>20 2386 A</t>
        </is>
      </c>
      <c r="M164" s="14" t="inlineStr">
        <is>
          <t>Mme TEAMOTUAITAU AUDREY, HEIMIRI,</t>
        </is>
      </c>
      <c r="N164" s="14" t="inlineStr">
        <is>
          <t>Chef d entreprise</t>
        </is>
      </c>
      <c r="O164" s="15" t="inlineStr">
        <is>
          <t>4707</t>
        </is>
      </c>
    </row>
    <row r="165" ht="20" customHeight="1">
      <c r="A165" s="16" t="inlineStr">
        <is>
          <t>PAEA-CCISM-0164</t>
        </is>
      </c>
      <c r="B165" s="16" t="inlineStr">
        <is>
          <t>F14312</t>
        </is>
      </c>
      <c r="C165" s="17" t="inlineStr">
        <is>
          <t>TEANINIURAITEMOANA ROMY</t>
        </is>
      </c>
      <c r="D165" s="17" t="inlineStr">
        <is>
          <t>19 SERVITURE PAPEHUE 98711 PAEA</t>
        </is>
      </c>
      <c r="E165" s="17" t="inlineStr">
        <is>
          <t>Patenté (Personne Physique)</t>
        </is>
      </c>
      <c r="F165" s="17" t="inlineStr">
        <is>
          <t>Patenté</t>
        </is>
      </c>
      <c r="G165" s="16" t="inlineStr">
        <is>
          <t>5621Z</t>
        </is>
      </c>
      <c r="H165" s="16" t="inlineStr">
        <is>
          <t>C</t>
        </is>
      </c>
      <c r="I165" s="17" t="inlineStr">
        <is>
          <t>Commerce</t>
        </is>
      </c>
      <c r="J165" s="18" t="n">
        <v>0</v>
      </c>
      <c r="K165" s="18" t="n">
        <v>1</v>
      </c>
      <c r="L165" s="17" t="inlineStr">
        <is>
          <t>23 235 A</t>
        </is>
      </c>
      <c r="M165" s="17" t="inlineStr">
        <is>
          <t>Mme TEANINIURAITEMOANA ROMY</t>
        </is>
      </c>
      <c r="N165" s="17" t="inlineStr">
        <is>
          <t>Chef d entreprise</t>
        </is>
      </c>
      <c r="O165" s="18" t="inlineStr">
        <is>
          <t>4711</t>
        </is>
      </c>
    </row>
    <row r="166" ht="20" customHeight="1">
      <c r="A166" s="13" t="inlineStr">
        <is>
          <t>PAEA-CCISM-0165</t>
        </is>
      </c>
      <c r="B166" s="13" t="inlineStr">
        <is>
          <t>E06336</t>
        </is>
      </c>
      <c r="C166" s="14" t="inlineStr">
        <is>
          <t>TEAVAROA HEIDY</t>
        </is>
      </c>
      <c r="D166" s="14" t="inlineStr">
        <is>
          <t>LOT TE PUHAGA LOGEMENT 20 98711 PAEA</t>
        </is>
      </c>
      <c r="E166" s="14" t="inlineStr">
        <is>
          <t>Patenté (Personne Physique)</t>
        </is>
      </c>
      <c r="F166" s="14" t="inlineStr">
        <is>
          <t>Patenté</t>
        </is>
      </c>
      <c r="G166" s="13" t="inlineStr">
        <is>
          <t>4781Z</t>
        </is>
      </c>
      <c r="H166" s="13" t="inlineStr">
        <is>
          <t>C</t>
        </is>
      </c>
      <c r="I166" s="14" t="inlineStr">
        <is>
          <t>Commerce</t>
        </is>
      </c>
      <c r="J166" s="15" t="n">
        <v>0</v>
      </c>
      <c r="K166" s="15" t="n">
        <v>1</v>
      </c>
      <c r="L166" s="14" t="inlineStr">
        <is>
          <t>21 61 A</t>
        </is>
      </c>
      <c r="M166" s="14" t="inlineStr">
        <is>
          <t>Mme TEAVAROA HEIDY</t>
        </is>
      </c>
      <c r="N166" s="14" t="inlineStr">
        <is>
          <t>Chef d entreprise</t>
        </is>
      </c>
      <c r="O166" s="15" t="inlineStr">
        <is>
          <t>4737</t>
        </is>
      </c>
    </row>
    <row r="167" ht="20" customHeight="1">
      <c r="A167" s="16" t="inlineStr">
        <is>
          <t>PAEA-CCISM-0166</t>
        </is>
      </c>
      <c r="B167" s="16" t="inlineStr">
        <is>
          <t>E77014</t>
        </is>
      </c>
      <c r="C167" s="17" t="inlineStr">
        <is>
          <t>TEAVE OLEA</t>
        </is>
      </c>
      <c r="D167" s="17" t="inlineStr">
        <is>
          <t>98711 PAEA</t>
        </is>
      </c>
      <c r="E167" s="17" t="inlineStr">
        <is>
          <t>Patenté (Personne Physique)</t>
        </is>
      </c>
      <c r="F167" s="17" t="inlineStr">
        <is>
          <t>Patenté</t>
        </is>
      </c>
      <c r="G167" s="16" t="inlineStr">
        <is>
          <t>4690Z</t>
        </is>
      </c>
      <c r="H167" s="16" t="inlineStr">
        <is>
          <t>C</t>
        </is>
      </c>
      <c r="I167" s="17" t="inlineStr">
        <is>
          <t>Commerce</t>
        </is>
      </c>
      <c r="J167" s="18" t="n">
        <v>0</v>
      </c>
      <c r="K167" s="18" t="n">
        <v>1</v>
      </c>
      <c r="L167" s="17" t="inlineStr">
        <is>
          <t>22 1275 A</t>
        </is>
      </c>
      <c r="M167" s="17" t="inlineStr">
        <is>
          <t>Mme TEAVE OLEA</t>
        </is>
      </c>
      <c r="N167" s="17" t="inlineStr">
        <is>
          <t>Chef d entreprise</t>
        </is>
      </c>
      <c r="O167" s="18" t="inlineStr">
        <is>
          <t>4741</t>
        </is>
      </c>
    </row>
    <row r="168" ht="20" customHeight="1">
      <c r="A168" s="13" t="inlineStr">
        <is>
          <t>PAEA-CCISM-0167</t>
        </is>
      </c>
      <c r="B168" s="13" t="inlineStr">
        <is>
          <t>F89488</t>
        </is>
      </c>
      <c r="C168" s="14" t="inlineStr">
        <is>
          <t>TEHETIA LILIANE</t>
        </is>
      </c>
      <c r="D168" s="14" t="inlineStr">
        <is>
          <t>SERVITUDE PAPEHUE 98711 PAEA</t>
        </is>
      </c>
      <c r="E168" s="14" t="inlineStr">
        <is>
          <t>Patenté (Personne Physique)</t>
        </is>
      </c>
      <c r="F168" s="14" t="inlineStr">
        <is>
          <t>Patenté</t>
        </is>
      </c>
      <c r="G168" s="13" t="inlineStr">
        <is>
          <t>5610C</t>
        </is>
      </c>
      <c r="H168" s="13" t="inlineStr">
        <is>
          <t>C</t>
        </is>
      </c>
      <c r="I168" s="14" t="inlineStr">
        <is>
          <t>Commerce</t>
        </is>
      </c>
      <c r="J168" s="15" t="n">
        <v>0</v>
      </c>
      <c r="K168" s="15" t="n">
        <v>1</v>
      </c>
      <c r="L168" s="14" t="inlineStr">
        <is>
          <t>24 1599 A</t>
        </is>
      </c>
      <c r="M168" s="14" t="inlineStr">
        <is>
          <t>Mme TEHETIA LILIANE</t>
        </is>
      </c>
      <c r="N168" s="14" t="inlineStr">
        <is>
          <t>Chef d entreprise</t>
        </is>
      </c>
      <c r="O168" s="15" t="inlineStr">
        <is>
          <t>4798</t>
        </is>
      </c>
    </row>
    <row r="169" ht="20" customHeight="1">
      <c r="A169" s="16" t="inlineStr">
        <is>
          <t>PAEA-CCISM-0168</t>
        </is>
      </c>
      <c r="B169" s="16" t="inlineStr">
        <is>
          <t>987917</t>
        </is>
      </c>
      <c r="C169" s="17" t="inlineStr">
        <is>
          <t>TEHIVA MARCELIN</t>
        </is>
      </c>
      <c r="D169" s="17" t="inlineStr">
        <is>
          <t>PAEA PK 27.500 C/MONT - FAANA 98711 PAEA</t>
        </is>
      </c>
      <c r="E169" s="17" t="inlineStr">
        <is>
          <t>Patenté (Personne Physique)</t>
        </is>
      </c>
      <c r="F169" s="17" t="inlineStr">
        <is>
          <t>Patenté</t>
        </is>
      </c>
      <c r="G169" s="16" t="inlineStr">
        <is>
          <t>5610C</t>
        </is>
      </c>
      <c r="H169" s="16" t="inlineStr">
        <is>
          <t>C</t>
        </is>
      </c>
      <c r="I169" s="17" t="inlineStr">
        <is>
          <t>Commerce</t>
        </is>
      </c>
      <c r="J169" s="18" t="n">
        <v>0</v>
      </c>
      <c r="K169" s="18" t="n">
        <v>1</v>
      </c>
      <c r="L169" s="17" t="inlineStr">
        <is>
          <t>11 1028 A</t>
        </is>
      </c>
      <c r="M169" s="17" t="inlineStr">
        <is>
          <t>M TEHIVA MARCELIN</t>
        </is>
      </c>
      <c r="N169" s="17" t="inlineStr">
        <is>
          <t>Chef d entreprise</t>
        </is>
      </c>
      <c r="O169" s="18" t="inlineStr">
        <is>
          <t>4814</t>
        </is>
      </c>
    </row>
    <row r="170" ht="20" customHeight="1">
      <c r="A170" s="13" t="inlineStr">
        <is>
          <t>PAEA-CCISM-0169</t>
        </is>
      </c>
      <c r="B170" s="13" t="inlineStr">
        <is>
          <t>865139</t>
        </is>
      </c>
      <c r="C170" s="14" t="inlineStr">
        <is>
          <t>TEIHOTU NEE DESAMY LAURA</t>
        </is>
      </c>
      <c r="D170" s="14" t="inlineStr">
        <is>
          <t>PK 20.50 CENTRE TIAPA 98711 PAEA</t>
        </is>
      </c>
      <c r="E170" s="14" t="inlineStr">
        <is>
          <t>Patenté (Personne Physique)</t>
        </is>
      </c>
      <c r="F170" s="14" t="inlineStr">
        <is>
          <t>Patenté</t>
        </is>
      </c>
      <c r="G170" s="13" t="inlineStr">
        <is>
          <t>5610C</t>
        </is>
      </c>
      <c r="H170" s="13" t="inlineStr">
        <is>
          <t>C</t>
        </is>
      </c>
      <c r="I170" s="14" t="inlineStr">
        <is>
          <t>Commerce</t>
        </is>
      </c>
      <c r="J170" s="15" t="n">
        <v>1</v>
      </c>
      <c r="K170" s="15" t="n">
        <v>1</v>
      </c>
      <c r="L170" s="14" t="inlineStr">
        <is>
          <t>20 2939 A</t>
        </is>
      </c>
      <c r="M170" s="14" t="inlineStr">
        <is>
          <t>Mme DESAMY LAURA</t>
        </is>
      </c>
      <c r="N170" s="14" t="inlineStr">
        <is>
          <t>Chef d entreprise</t>
        </is>
      </c>
      <c r="O170" s="15" t="inlineStr">
        <is>
          <t>4836</t>
        </is>
      </c>
    </row>
    <row r="171" ht="20" customHeight="1">
      <c r="A171" s="16" t="inlineStr">
        <is>
          <t>PAEA-CCISM-0170</t>
        </is>
      </c>
      <c r="B171" s="16" t="inlineStr">
        <is>
          <t>E44352</t>
        </is>
      </c>
      <c r="C171" s="17" t="inlineStr">
        <is>
          <t>TEINAURI THÉOPHILE</t>
        </is>
      </c>
      <c r="D171" s="17" t="inlineStr">
        <is>
          <t>QUARTIER VAITERUPE 98711 PAEA</t>
        </is>
      </c>
      <c r="E171" s="17" t="inlineStr">
        <is>
          <t>Patenté (Personne Physique)</t>
        </is>
      </c>
      <c r="F171" s="17" t="inlineStr">
        <is>
          <t>Patenté</t>
        </is>
      </c>
      <c r="G171" s="16" t="inlineStr">
        <is>
          <t>4781Z</t>
        </is>
      </c>
      <c r="H171" s="16" t="inlineStr">
        <is>
          <t>C</t>
        </is>
      </c>
      <c r="I171" s="17" t="inlineStr">
        <is>
          <t>Commerce</t>
        </is>
      </c>
      <c r="J171" s="18" t="n">
        <v>0</v>
      </c>
      <c r="K171" s="18" t="n">
        <v>1</v>
      </c>
      <c r="L171" s="17" t="inlineStr">
        <is>
          <t>21 2506 A</t>
        </is>
      </c>
      <c r="M171" s="17" t="inlineStr">
        <is>
          <t>M TEINAURI THÉOPHILE</t>
        </is>
      </c>
      <c r="N171" s="17" t="inlineStr">
        <is>
          <t>Chef d entreprise</t>
        </is>
      </c>
      <c r="O171" s="18" t="inlineStr">
        <is>
          <t>4867</t>
        </is>
      </c>
    </row>
    <row r="172" ht="20" customHeight="1">
      <c r="A172" s="13" t="inlineStr">
        <is>
          <t>PAEA-CCISM-0171</t>
        </is>
      </c>
      <c r="B172" s="13" t="inlineStr">
        <is>
          <t>942664</t>
        </is>
      </c>
      <c r="C172" s="14" t="inlineStr">
        <is>
          <t>TEIRI RICHARD</t>
        </is>
      </c>
      <c r="D172" s="14" t="inlineStr">
        <is>
          <t>FACE LOTISSEMENT POFATU 98711 PAEA</t>
        </is>
      </c>
      <c r="E172" s="14" t="inlineStr">
        <is>
          <t>Patenté (Personne Physique)</t>
        </is>
      </c>
      <c r="F172" s="14" t="inlineStr">
        <is>
          <t>Patenté</t>
        </is>
      </c>
      <c r="G172" s="13" t="inlineStr">
        <is>
          <t>4799A</t>
        </is>
      </c>
      <c r="H172" s="13" t="inlineStr">
        <is>
          <t>C</t>
        </is>
      </c>
      <c r="I172" s="14" t="inlineStr">
        <is>
          <t>Commerce</t>
        </is>
      </c>
      <c r="J172" s="15" t="n">
        <v>0</v>
      </c>
      <c r="K172" s="15" t="n">
        <v>1</v>
      </c>
      <c r="L172" s="14" t="inlineStr">
        <is>
          <t>21 1064 A</t>
        </is>
      </c>
      <c r="M172" s="14" t="inlineStr">
        <is>
          <t>M TEIRI RICHARD</t>
        </is>
      </c>
      <c r="N172" s="14" t="inlineStr">
        <is>
          <t>Chef d entreprise</t>
        </is>
      </c>
      <c r="O172" s="15" t="inlineStr">
        <is>
          <t>4878</t>
        </is>
      </c>
    </row>
    <row r="173" ht="20" customHeight="1">
      <c r="A173" s="16" t="inlineStr">
        <is>
          <t>PAEA-CCISM-0172</t>
        </is>
      </c>
      <c r="B173" s="16" t="inlineStr">
        <is>
          <t>F78820</t>
        </is>
      </c>
      <c r="C173" s="17" t="inlineStr">
        <is>
          <t>TEMANIHI JENNIFER</t>
        </is>
      </c>
      <c r="D173" s="17" t="inlineStr">
        <is>
          <t>LOTISSEMENT TEPUHAPA N° 12 98711 PAEA</t>
        </is>
      </c>
      <c r="E173" s="17" t="inlineStr">
        <is>
          <t>Patenté (Personne Physique)</t>
        </is>
      </c>
      <c r="F173" s="17" t="inlineStr">
        <is>
          <t>Patenté</t>
        </is>
      </c>
      <c r="G173" s="16" t="inlineStr">
        <is>
          <t>4690Z</t>
        </is>
      </c>
      <c r="H173" s="16" t="inlineStr">
        <is>
          <t>C</t>
        </is>
      </c>
      <c r="I173" s="17" t="inlineStr">
        <is>
          <t>Commerce</t>
        </is>
      </c>
      <c r="J173" s="18" t="n">
        <v>0</v>
      </c>
      <c r="K173" s="18" t="n">
        <v>1</v>
      </c>
      <c r="L173" s="17" t="inlineStr">
        <is>
          <t>24 954 A</t>
        </is>
      </c>
      <c r="M173" s="17" t="inlineStr">
        <is>
          <t>Mme TEMANIHI JENNIFER</t>
        </is>
      </c>
      <c r="N173" s="17" t="inlineStr">
        <is>
          <t>Chef d entreprise</t>
        </is>
      </c>
      <c r="O173" s="18" t="inlineStr">
        <is>
          <t>4912</t>
        </is>
      </c>
    </row>
    <row r="174" ht="20" customHeight="1">
      <c r="A174" s="13" t="inlineStr">
        <is>
          <t>PAEA-CCISM-0173</t>
        </is>
      </c>
      <c r="B174" s="13" t="inlineStr">
        <is>
          <t>G10755</t>
        </is>
      </c>
      <c r="C174" s="14" t="inlineStr">
        <is>
          <t>TENTATIONS</t>
        </is>
      </c>
      <c r="D174" s="14" t="inlineStr">
        <is>
          <t>DU LOT C VAITERUPE LOT 1 DE LA PARCELLE C 98711 PAEA</t>
        </is>
      </c>
      <c r="E174" s="14" t="inlineStr">
        <is>
          <t>SARL</t>
        </is>
      </c>
      <c r="F174" s="14" t="inlineStr">
        <is>
          <t>Société</t>
        </is>
      </c>
      <c r="G174" s="13" t="inlineStr">
        <is>
          <t>4690Z</t>
        </is>
      </c>
      <c r="H174" s="13" t="inlineStr">
        <is>
          <t>C</t>
        </is>
      </c>
      <c r="I174" s="14" t="inlineStr">
        <is>
          <t>Commerce</t>
        </is>
      </c>
      <c r="J174" s="15" t="n">
        <v>3</v>
      </c>
      <c r="K174" s="15" t="n">
        <v>1</v>
      </c>
      <c r="L174" s="14" t="inlineStr">
        <is>
          <t>25 039 B</t>
        </is>
      </c>
      <c r="M174" s="14" t="inlineStr">
        <is>
          <t>M TETARIA HEIARII</t>
        </is>
      </c>
      <c r="N174" s="14" t="inlineStr">
        <is>
          <t>Autre</t>
        </is>
      </c>
      <c r="O174" s="15" t="inlineStr">
        <is>
          <t>4945</t>
        </is>
      </c>
    </row>
    <row r="175" ht="20" customHeight="1">
      <c r="A175" s="16" t="inlineStr">
        <is>
          <t>PAEA-CCISM-0174</t>
        </is>
      </c>
      <c r="B175" s="16" t="inlineStr">
        <is>
          <t>E05577</t>
        </is>
      </c>
      <c r="C175" s="17" t="inlineStr">
        <is>
          <t>TEPAU CHRISTIAN, LOÏS</t>
        </is>
      </c>
      <c r="D175" s="17" t="inlineStr">
        <is>
          <t>CÔTÉ MONTAGNE APRES MAGASIN SACAULT 98711 PAEA</t>
        </is>
      </c>
      <c r="E175" s="17" t="inlineStr">
        <is>
          <t>Patenté (Personne Physique)</t>
        </is>
      </c>
      <c r="F175" s="17" t="inlineStr">
        <is>
          <t>Patenté</t>
        </is>
      </c>
      <c r="G175" s="16" t="inlineStr">
        <is>
          <t>4690Z</t>
        </is>
      </c>
      <c r="H175" s="16" t="inlineStr">
        <is>
          <t>C</t>
        </is>
      </c>
      <c r="I175" s="17" t="inlineStr">
        <is>
          <t>Commerce</t>
        </is>
      </c>
      <c r="J175" s="18" t="n">
        <v>0</v>
      </c>
      <c r="K175" s="18" t="n">
        <v>1</v>
      </c>
      <c r="L175" s="17" t="inlineStr">
        <is>
          <t>21 580 A</t>
        </is>
      </c>
      <c r="M175" s="17" t="inlineStr">
        <is>
          <t>M TEPAU CHRISTIAN, LOÏS</t>
        </is>
      </c>
      <c r="N175" s="17" t="inlineStr">
        <is>
          <t>Chef d entreprise</t>
        </is>
      </c>
      <c r="O175" s="18" t="inlineStr">
        <is>
          <t>4956</t>
        </is>
      </c>
    </row>
    <row r="176" ht="20" customHeight="1">
      <c r="A176" s="13" t="inlineStr">
        <is>
          <t>PAEA-CCISM-0175</t>
        </is>
      </c>
      <c r="B176" s="13" t="inlineStr">
        <is>
          <t>E42547</t>
        </is>
      </c>
      <c r="C176" s="14" t="inlineStr">
        <is>
          <t>TERIITAUMIHAU LEILANI</t>
        </is>
      </c>
      <c r="D176" s="14" t="inlineStr">
        <is>
          <t>PK 21.5 COTÉ MER 98711 PAEA</t>
        </is>
      </c>
      <c r="E176" s="14" t="inlineStr">
        <is>
          <t>Patenté (Personne Physique)</t>
        </is>
      </c>
      <c r="F176" s="14" t="inlineStr">
        <is>
          <t>Patenté</t>
        </is>
      </c>
      <c r="G176" s="13" t="inlineStr">
        <is>
          <t>5610C</t>
        </is>
      </c>
      <c r="H176" s="13" t="inlineStr">
        <is>
          <t>C</t>
        </is>
      </c>
      <c r="I176" s="14" t="inlineStr">
        <is>
          <t>Commerce</t>
        </is>
      </c>
      <c r="J176" s="15" t="n">
        <v>0</v>
      </c>
      <c r="K176" s="15" t="n">
        <v>1</v>
      </c>
      <c r="L176" s="14" t="inlineStr">
        <is>
          <t>21 2404 A</t>
        </is>
      </c>
      <c r="M176" s="14" t="inlineStr">
        <is>
          <t>Mme TERIITAUMIHAU LEILANI</t>
        </is>
      </c>
      <c r="N176" s="14" t="inlineStr">
        <is>
          <t>Chef d entreprise</t>
        </is>
      </c>
      <c r="O176" s="15" t="inlineStr">
        <is>
          <t>5011</t>
        </is>
      </c>
    </row>
    <row r="177" ht="20" customHeight="1">
      <c r="A177" s="16" t="inlineStr">
        <is>
          <t>PAEA-CCISM-0176</t>
        </is>
      </c>
      <c r="B177" s="16" t="inlineStr">
        <is>
          <t>437731</t>
        </is>
      </c>
      <c r="C177" s="17" t="inlineStr">
        <is>
          <t>TETUA WILLIAMS</t>
        </is>
      </c>
      <c r="D177" s="17" t="inlineStr">
        <is>
          <t>RTE DE LA VALLEE OROFERO SERV BARFF 98711 PAEA</t>
        </is>
      </c>
      <c r="E177" s="17" t="inlineStr">
        <is>
          <t>Patenté (Personne Physique)</t>
        </is>
      </c>
      <c r="F177" s="17" t="inlineStr">
        <is>
          <t>Patenté</t>
        </is>
      </c>
      <c r="G177" s="16" t="inlineStr">
        <is>
          <t>4799B</t>
        </is>
      </c>
      <c r="H177" s="16" t="inlineStr">
        <is>
          <t>C</t>
        </is>
      </c>
      <c r="I177" s="17" t="inlineStr">
        <is>
          <t>Commerce</t>
        </is>
      </c>
      <c r="J177" s="18" t="n">
        <v>0</v>
      </c>
      <c r="K177" s="18" t="n">
        <v>1</v>
      </c>
      <c r="L177" s="17" t="inlineStr">
        <is>
          <t>21 1431 A</t>
        </is>
      </c>
      <c r="M177" s="17" t="inlineStr">
        <is>
          <t>M TETUA WILLIAMS</t>
        </is>
      </c>
      <c r="N177" s="17" t="inlineStr">
        <is>
          <t>Chef d entreprise</t>
        </is>
      </c>
      <c r="O177" s="18" t="inlineStr">
        <is>
          <t>5059</t>
        </is>
      </c>
    </row>
    <row r="178" ht="20" customHeight="1">
      <c r="A178" s="13" t="inlineStr">
        <is>
          <t>PAEA-CCISM-0177</t>
        </is>
      </c>
      <c r="B178" s="13" t="inlineStr">
        <is>
          <t>296350</t>
        </is>
      </c>
      <c r="C178" s="14" t="inlineStr">
        <is>
          <t>TETUANUI TUTU</t>
        </is>
      </c>
      <c r="D178" s="14" t="inlineStr">
        <is>
          <t>PROP SALMON 98711 PAEA</t>
        </is>
      </c>
      <c r="E178" s="14" t="inlineStr">
        <is>
          <t>Patenté (Personne Physique)</t>
        </is>
      </c>
      <c r="F178" s="14" t="inlineStr">
        <is>
          <t>Patenté</t>
        </is>
      </c>
      <c r="G178" s="13" t="inlineStr">
        <is>
          <t>4777Z</t>
        </is>
      </c>
      <c r="H178" s="13" t="inlineStr">
        <is>
          <t>C</t>
        </is>
      </c>
      <c r="I178" s="14" t="inlineStr">
        <is>
          <t>Commerce</t>
        </is>
      </c>
      <c r="J178" s="15" t="n">
        <v>0</v>
      </c>
      <c r="K178" s="15" t="n">
        <v>1</v>
      </c>
      <c r="L178" s="14" t="inlineStr">
        <is>
          <t>20 2015 A</t>
        </is>
      </c>
      <c r="M178" s="14" t="inlineStr">
        <is>
          <t>M TETUANUI TUTU</t>
        </is>
      </c>
      <c r="N178" s="14" t="inlineStr">
        <is>
          <t>Chef d entreprise</t>
        </is>
      </c>
      <c r="O178" s="15" t="inlineStr">
        <is>
          <t>5079</t>
        </is>
      </c>
    </row>
    <row r="179" ht="20" customHeight="1">
      <c r="A179" s="16" t="inlineStr">
        <is>
          <t>PAEA-CCISM-0178</t>
        </is>
      </c>
      <c r="B179" s="16" t="inlineStr">
        <is>
          <t>A44419</t>
        </is>
      </c>
      <c r="C179" s="17" t="inlineStr">
        <is>
          <t>THENOT GILBERT</t>
        </is>
      </c>
      <c r="D179" s="17" t="inlineStr">
        <is>
          <t>PAEA PK 23.200 C/MONT - FAGNEAUX 98711 PAEA</t>
        </is>
      </c>
      <c r="E179" s="17" t="inlineStr">
        <is>
          <t>Patenté (Personne Physique)</t>
        </is>
      </c>
      <c r="F179" s="17" t="inlineStr">
        <is>
          <t>Patenté</t>
        </is>
      </c>
      <c r="G179" s="16" t="inlineStr">
        <is>
          <t>4622Z</t>
        </is>
      </c>
      <c r="H179" s="16" t="inlineStr">
        <is>
          <t>C</t>
        </is>
      </c>
      <c r="I179" s="17" t="inlineStr">
        <is>
          <t>Commerce</t>
        </is>
      </c>
      <c r="J179" s="18" t="n">
        <v>0</v>
      </c>
      <c r="K179" s="18" t="n">
        <v>1</v>
      </c>
      <c r="L179" s="17" t="inlineStr">
        <is>
          <t>12 1843 A</t>
        </is>
      </c>
      <c r="M179" s="17" t="inlineStr">
        <is>
          <t>M THENOT GILBERT</t>
        </is>
      </c>
      <c r="N179" s="17" t="inlineStr">
        <is>
          <t>Chef d entreprise</t>
        </is>
      </c>
      <c r="O179" s="18" t="inlineStr">
        <is>
          <t>5122</t>
        </is>
      </c>
    </row>
    <row r="180" ht="20" customHeight="1">
      <c r="A180" s="13" t="inlineStr">
        <is>
          <t>PAEA-CCISM-0179</t>
        </is>
      </c>
      <c r="B180" s="13" t="inlineStr">
        <is>
          <t>D31162</t>
        </is>
      </c>
      <c r="C180" s="14" t="inlineStr">
        <is>
          <t>TIAPA</t>
        </is>
      </c>
      <c r="D180" s="14" t="inlineStr">
        <is>
          <t>98711 PAEA</t>
        </is>
      </c>
      <c r="E180" s="14" t="inlineStr">
        <is>
          <t>SELARL</t>
        </is>
      </c>
      <c r="F180" s="14" t="inlineStr">
        <is>
          <t>Société</t>
        </is>
      </c>
      <c r="G180" s="13" t="inlineStr">
        <is>
          <t>4773Z</t>
        </is>
      </c>
      <c r="H180" s="13" t="inlineStr">
        <is>
          <t>C</t>
        </is>
      </c>
      <c r="I180" s="14" t="inlineStr">
        <is>
          <t>Commerce</t>
        </is>
      </c>
      <c r="J180" s="15" t="n">
        <v>11</v>
      </c>
      <c r="K180" s="15" t="n">
        <v>3</v>
      </c>
      <c r="L180" s="14" t="inlineStr">
        <is>
          <t>19 90194</t>
        </is>
      </c>
      <c r="M180" s="14" t="inlineStr">
        <is>
          <t>Mme MAUNIER STEPHANIE TIMERI</t>
        </is>
      </c>
      <c r="N180" s="14" t="inlineStr">
        <is>
          <t>Gérant</t>
        </is>
      </c>
      <c r="O180" s="15" t="inlineStr">
        <is>
          <t>5141</t>
        </is>
      </c>
    </row>
    <row r="181" ht="20" customHeight="1">
      <c r="A181" s="16" t="inlineStr">
        <is>
          <t>PAEA-CCISM-0180</t>
        </is>
      </c>
      <c r="B181" s="16" t="inlineStr">
        <is>
          <t>550863</t>
        </is>
      </c>
      <c r="C181" s="17" t="inlineStr">
        <is>
          <t>TIBI ROLLAND DAVID</t>
        </is>
      </c>
      <c r="D181" s="17" t="inlineStr">
        <is>
          <t>PAEA PK 22 C/MER - LES BOUGAINVILLIERS 98711 PAEA</t>
        </is>
      </c>
      <c r="E181" s="17" t="inlineStr">
        <is>
          <t>Patenté (Personne Physique)</t>
        </is>
      </c>
      <c r="F181" s="17" t="inlineStr">
        <is>
          <t>Patenté</t>
        </is>
      </c>
      <c r="G181" s="16" t="inlineStr">
        <is>
          <t>4669B</t>
        </is>
      </c>
      <c r="H181" s="16" t="inlineStr">
        <is>
          <t>C</t>
        </is>
      </c>
      <c r="I181" s="17" t="inlineStr">
        <is>
          <t>Commerce</t>
        </is>
      </c>
      <c r="J181" s="18" t="n">
        <v>0</v>
      </c>
      <c r="K181" s="18" t="n">
        <v>1</v>
      </c>
      <c r="L181" s="17" t="inlineStr">
        <is>
          <t>37089 A</t>
        </is>
      </c>
      <c r="M181" s="17" t="inlineStr">
        <is>
          <t>M TIBI ROLLAND DAVID</t>
        </is>
      </c>
      <c r="N181" s="17" t="inlineStr">
        <is>
          <t>Chef d entreprise</t>
        </is>
      </c>
      <c r="O181" s="18" t="inlineStr">
        <is>
          <t>5149</t>
        </is>
      </c>
    </row>
    <row r="182" ht="20" customHeight="1">
      <c r="A182" s="13" t="inlineStr">
        <is>
          <t>PAEA-CCISM-0181</t>
        </is>
      </c>
      <c r="B182" s="13" t="inlineStr">
        <is>
          <t>E61372</t>
        </is>
      </c>
      <c r="C182" s="14" t="inlineStr">
        <is>
          <t>TINIRAUARII RAIMOANA</t>
        </is>
      </c>
      <c r="D182" s="14" t="inlineStr">
        <is>
          <t>98711 PAEA</t>
        </is>
      </c>
      <c r="E182" s="14" t="inlineStr">
        <is>
          <t>Patenté (Personne Physique)</t>
        </is>
      </c>
      <c r="F182" s="14" t="inlineStr">
        <is>
          <t>Patenté</t>
        </is>
      </c>
      <c r="G182" s="13" t="inlineStr">
        <is>
          <t>4690Z</t>
        </is>
      </c>
      <c r="H182" s="13" t="inlineStr">
        <is>
          <t>C</t>
        </is>
      </c>
      <c r="I182" s="14" t="inlineStr">
        <is>
          <t>Commerce</t>
        </is>
      </c>
      <c r="J182" s="15" t="n">
        <v>0</v>
      </c>
      <c r="K182" s="15" t="n">
        <v>1</v>
      </c>
      <c r="L182" s="14" t="inlineStr">
        <is>
          <t>22 202 A</t>
        </is>
      </c>
      <c r="M182" s="14" t="inlineStr">
        <is>
          <t>M TINIRAUARII RAIMOANA</t>
        </is>
      </c>
      <c r="N182" s="14" t="inlineStr">
        <is>
          <t>Chef d entreprise</t>
        </is>
      </c>
      <c r="O182" s="15" t="inlineStr">
        <is>
          <t>5183</t>
        </is>
      </c>
    </row>
    <row r="183" ht="20" customHeight="1">
      <c r="A183" s="16" t="inlineStr">
        <is>
          <t>PAEA-CCISM-0182</t>
        </is>
      </c>
      <c r="B183" s="16" t="inlineStr">
        <is>
          <t>F36802</t>
        </is>
      </c>
      <c r="C183" s="17" t="inlineStr">
        <is>
          <t>TOKORANGI ARIIOEHAU STANISLAS</t>
        </is>
      </c>
      <c r="D183" s="17" t="inlineStr">
        <is>
          <t>SERV LAUGHLIN 98711 PAEA</t>
        </is>
      </c>
      <c r="E183" s="17" t="inlineStr">
        <is>
          <t>Patenté (Personne Physique)</t>
        </is>
      </c>
      <c r="F183" s="17" t="inlineStr">
        <is>
          <t>Patenté</t>
        </is>
      </c>
      <c r="G183" s="16" t="inlineStr">
        <is>
          <t>4690Z</t>
        </is>
      </c>
      <c r="H183" s="16" t="inlineStr">
        <is>
          <t>C</t>
        </is>
      </c>
      <c r="I183" s="17" t="inlineStr">
        <is>
          <t>Commerce</t>
        </is>
      </c>
      <c r="J183" s="18" t="n">
        <v>0</v>
      </c>
      <c r="K183" s="18" t="n">
        <v>1</v>
      </c>
      <c r="L183" s="17" t="inlineStr">
        <is>
          <t>23 1664 A</t>
        </is>
      </c>
      <c r="M183" s="17" t="inlineStr">
        <is>
          <t>M TOKORANGI ARIIOEHAU STANISLAS</t>
        </is>
      </c>
      <c r="N183" s="17" t="inlineStr">
        <is>
          <t>Chef d entreprise</t>
        </is>
      </c>
      <c r="O183" s="18" t="inlineStr">
        <is>
          <t>5237</t>
        </is>
      </c>
    </row>
    <row r="184" ht="20" customHeight="1">
      <c r="A184" s="13" t="inlineStr">
        <is>
          <t>PAEA-CCISM-0183</t>
        </is>
      </c>
      <c r="B184" s="13" t="inlineStr">
        <is>
          <t>D32467</t>
        </is>
      </c>
      <c r="C184" s="14" t="inlineStr">
        <is>
          <t>TOUATEKINA NEE NAPUAUHI TANAHOA MARIANNE</t>
        </is>
      </c>
      <c r="D184" s="14" t="inlineStr">
        <is>
          <t>RTE DE LA VALLEE OROFERO 98711 PAEA</t>
        </is>
      </c>
      <c r="E184" s="14" t="inlineStr">
        <is>
          <t>Patenté (Personne Physique)</t>
        </is>
      </c>
      <c r="F184" s="14" t="inlineStr">
        <is>
          <t>Patenté</t>
        </is>
      </c>
      <c r="G184" s="13" t="inlineStr">
        <is>
          <t>5610C</t>
        </is>
      </c>
      <c r="H184" s="13" t="inlineStr">
        <is>
          <t>C</t>
        </is>
      </c>
      <c r="I184" s="14" t="inlineStr">
        <is>
          <t>Commerce</t>
        </is>
      </c>
      <c r="J184" s="15" t="n">
        <v>0</v>
      </c>
      <c r="K184" s="15" t="n">
        <v>1</v>
      </c>
      <c r="L184" s="14" t="inlineStr">
        <is>
          <t>19 2513 A</t>
        </is>
      </c>
      <c r="M184" s="14" t="inlineStr">
        <is>
          <t>Mme TOUATEKINA (Née NAPUAUHI) TANAHOA MARIANNE</t>
        </is>
      </c>
      <c r="N184" s="14" t="inlineStr">
        <is>
          <t>Chef d entreprise</t>
        </is>
      </c>
      <c r="O184" s="15" t="inlineStr">
        <is>
          <t>5264</t>
        </is>
      </c>
    </row>
    <row r="185" ht="20" customHeight="1">
      <c r="A185" s="16" t="inlineStr">
        <is>
          <t>PAEA-CCISM-0184</t>
        </is>
      </c>
      <c r="B185" s="16" t="inlineStr">
        <is>
          <t>F57709</t>
        </is>
      </c>
      <c r="C185" s="17" t="inlineStr">
        <is>
          <t>TROPICAL BURGER</t>
        </is>
      </c>
      <c r="D185" s="17" t="inlineStr">
        <is>
          <t>98711 PAEA</t>
        </is>
      </c>
      <c r="E185" s="17" t="inlineStr">
        <is>
          <t>SAS</t>
        </is>
      </c>
      <c r="F185" s="17" t="inlineStr">
        <is>
          <t>Société</t>
        </is>
      </c>
      <c r="G185" s="16" t="inlineStr">
        <is>
          <t>5610C</t>
        </is>
      </c>
      <c r="H185" s="16" t="inlineStr">
        <is>
          <t>C</t>
        </is>
      </c>
      <c r="I185" s="17" t="inlineStr">
        <is>
          <t>Commerce</t>
        </is>
      </c>
      <c r="J185" s="18" t="n">
        <v>2</v>
      </c>
      <c r="K185" s="18" t="n">
        <v>1</v>
      </c>
      <c r="L185" s="17" t="inlineStr">
        <is>
          <t>23 378 B</t>
        </is>
      </c>
      <c r="M185" s="17" t="inlineStr">
        <is>
          <t>Mme BRETAGNON FRANCE MOEA</t>
        </is>
      </c>
      <c r="N185" s="17" t="inlineStr">
        <is>
          <t>Président de SAS</t>
        </is>
      </c>
      <c r="O185" s="18" t="inlineStr">
        <is>
          <t>5291</t>
        </is>
      </c>
    </row>
    <row r="186" ht="20" customHeight="1">
      <c r="A186" s="13" t="inlineStr">
        <is>
          <t>PAEA-CCISM-0185</t>
        </is>
      </c>
      <c r="B186" s="13" t="inlineStr">
        <is>
          <t>E21483</t>
        </is>
      </c>
      <c r="C186" s="14" t="inlineStr">
        <is>
          <t>TUFARIUA GATIEN</t>
        </is>
      </c>
      <c r="D186" s="14" t="inlineStr">
        <is>
          <t>FACE LOTISSEMENT POFATU 98711 PAEA</t>
        </is>
      </c>
      <c r="E186" s="14" t="inlineStr">
        <is>
          <t>Patenté (Personne Physique)</t>
        </is>
      </c>
      <c r="F186" s="14" t="inlineStr">
        <is>
          <t>Patenté</t>
        </is>
      </c>
      <c r="G186" s="13" t="inlineStr">
        <is>
          <t>4711B</t>
        </is>
      </c>
      <c r="H186" s="13" t="inlineStr">
        <is>
          <t>C</t>
        </is>
      </c>
      <c r="I186" s="14" t="inlineStr">
        <is>
          <t>Commerce</t>
        </is>
      </c>
      <c r="J186" s="15" t="n">
        <v>0</v>
      </c>
      <c r="K186" s="15" t="n">
        <v>1</v>
      </c>
      <c r="L186" s="14" t="inlineStr">
        <is>
          <t>M TUFARIUA GATIEN</t>
        </is>
      </c>
      <c r="M186" s="14" t="inlineStr">
        <is>
          <t>Chef d entreprise</t>
        </is>
      </c>
      <c r="N186" s="14" t="inlineStr"/>
      <c r="O186" s="15" t="inlineStr">
        <is>
          <t>5317</t>
        </is>
      </c>
    </row>
    <row r="187" ht="20" customHeight="1">
      <c r="A187" s="16" t="inlineStr">
        <is>
          <t>PAEA-CCISM-0186</t>
        </is>
      </c>
      <c r="B187" s="16" t="inlineStr">
        <is>
          <t>C53374</t>
        </is>
      </c>
      <c r="C187" s="17" t="inlineStr">
        <is>
          <t>TUPAI LILIANE</t>
        </is>
      </c>
      <c r="D187" s="17" t="inlineStr">
        <is>
          <t>MARAA 98711 PAEA</t>
        </is>
      </c>
      <c r="E187" s="17" t="inlineStr">
        <is>
          <t>Patenté (Personne Physique)</t>
        </is>
      </c>
      <c r="F187" s="17" t="inlineStr">
        <is>
          <t>Patenté</t>
        </is>
      </c>
      <c r="G187" s="16" t="inlineStr">
        <is>
          <t>5610C</t>
        </is>
      </c>
      <c r="H187" s="16" t="inlineStr">
        <is>
          <t>C</t>
        </is>
      </c>
      <c r="I187" s="17" t="inlineStr">
        <is>
          <t>Commerce</t>
        </is>
      </c>
      <c r="J187" s="18" t="n">
        <v>0</v>
      </c>
      <c r="K187" s="18" t="n">
        <v>1</v>
      </c>
      <c r="L187" s="17" t="inlineStr">
        <is>
          <t>17 2265 A</t>
        </is>
      </c>
      <c r="M187" s="17" t="inlineStr">
        <is>
          <t>Mme TUPAI LILIANE</t>
        </is>
      </c>
      <c r="N187" s="17" t="inlineStr">
        <is>
          <t>Chef d entreprise</t>
        </is>
      </c>
      <c r="O187" s="18" t="inlineStr">
        <is>
          <t>5343</t>
        </is>
      </c>
    </row>
    <row r="188" ht="20" customHeight="1">
      <c r="A188" s="13" t="inlineStr">
        <is>
          <t>PAEA-CCISM-0187</t>
        </is>
      </c>
      <c r="B188" s="13" t="inlineStr">
        <is>
          <t>F10799</t>
        </is>
      </c>
      <c r="C188" s="14" t="inlineStr">
        <is>
          <t>TUUA MOERAVA MILENA</t>
        </is>
      </c>
      <c r="D188" s="14" t="inlineStr">
        <is>
          <t>RTE DU LOTISSEMENT TE PUHAPA 98711 PAEA</t>
        </is>
      </c>
      <c r="E188" s="14" t="inlineStr">
        <is>
          <t>Patenté (Personne Physique)</t>
        </is>
      </c>
      <c r="F188" s="14" t="inlineStr">
        <is>
          <t>Patenté</t>
        </is>
      </c>
      <c r="G188" s="13" t="inlineStr">
        <is>
          <t>5610C</t>
        </is>
      </c>
      <c r="H188" s="13" t="inlineStr">
        <is>
          <t>C</t>
        </is>
      </c>
      <c r="I188" s="14" t="inlineStr">
        <is>
          <t>Commerce</t>
        </is>
      </c>
      <c r="J188" s="15" t="n">
        <v>0</v>
      </c>
      <c r="K188" s="15" t="n">
        <v>1</v>
      </c>
      <c r="L188" s="14" t="inlineStr">
        <is>
          <t>22 3501 A</t>
        </is>
      </c>
      <c r="M188" s="14" t="inlineStr">
        <is>
          <t>Mme TUUA MOERAVA MILENA</t>
        </is>
      </c>
      <c r="N188" s="14" t="inlineStr">
        <is>
          <t>Chef d entreprise</t>
        </is>
      </c>
      <c r="O188" s="15" t="inlineStr">
        <is>
          <t>5361</t>
        </is>
      </c>
    </row>
    <row r="189" ht="20" customHeight="1">
      <c r="A189" s="16" t="inlineStr">
        <is>
          <t>PAEA-CCISM-0188</t>
        </is>
      </c>
      <c r="B189" s="16" t="inlineStr">
        <is>
          <t>B08180</t>
        </is>
      </c>
      <c r="C189" s="17" t="inlineStr">
        <is>
          <t>VANDEN AVONT JEAN-FRANCOIS</t>
        </is>
      </c>
      <c r="D189" s="17" t="inlineStr">
        <is>
          <t>98711 PAEA</t>
        </is>
      </c>
      <c r="E189" s="17" t="inlineStr">
        <is>
          <t>Patenté (Personne Physique)</t>
        </is>
      </c>
      <c r="F189" s="17" t="inlineStr">
        <is>
          <t>Patenté</t>
        </is>
      </c>
      <c r="G189" s="16" t="inlineStr">
        <is>
          <t>5610A</t>
        </is>
      </c>
      <c r="H189" s="16" t="inlineStr">
        <is>
          <t>C</t>
        </is>
      </c>
      <c r="I189" s="17" t="inlineStr">
        <is>
          <t>Commerce</t>
        </is>
      </c>
      <c r="J189" s="18" t="n">
        <v>0</v>
      </c>
      <c r="K189" s="18" t="n">
        <v>1</v>
      </c>
      <c r="L189" s="17" t="inlineStr">
        <is>
          <t>14 857 A</t>
        </is>
      </c>
      <c r="M189" s="17" t="inlineStr">
        <is>
          <t>M VANDEN AVONT JEAN-FRANCOIS</t>
        </is>
      </c>
      <c r="N189" s="17" t="inlineStr">
        <is>
          <t>Chef d entreprise</t>
        </is>
      </c>
      <c r="O189" s="18" t="inlineStr">
        <is>
          <t>5446</t>
        </is>
      </c>
    </row>
    <row r="190" ht="20" customHeight="1">
      <c r="A190" s="13" t="inlineStr">
        <is>
          <t>PAEA-CCISM-0189</t>
        </is>
      </c>
      <c r="B190" s="13" t="inlineStr">
        <is>
          <t>458562</t>
        </is>
      </c>
      <c r="C190" s="14" t="inlineStr">
        <is>
          <t>VISSAYAS DISTRIBUTION</t>
        </is>
      </c>
      <c r="D190" s="14" t="inlineStr">
        <is>
          <t>MONTARON 98711 PAEA</t>
        </is>
      </c>
      <c r="E190" s="14" t="inlineStr">
        <is>
          <t>SARL</t>
        </is>
      </c>
      <c r="F190" s="14" t="inlineStr">
        <is>
          <t>Société</t>
        </is>
      </c>
      <c r="G190" s="13" t="inlineStr">
        <is>
          <t>4649Z</t>
        </is>
      </c>
      <c r="H190" s="13" t="inlineStr">
        <is>
          <t>C</t>
        </is>
      </c>
      <c r="I190" s="14" t="inlineStr">
        <is>
          <t>Commerce</t>
        </is>
      </c>
      <c r="J190" s="15" t="n">
        <v>0</v>
      </c>
      <c r="K190" s="15" t="n">
        <v>1</v>
      </c>
      <c r="L190" s="14" t="inlineStr">
        <is>
          <t>6792 B</t>
        </is>
      </c>
      <c r="M190" s="14" t="inlineStr">
        <is>
          <t>M GARCIA CHRISTOPHE</t>
        </is>
      </c>
      <c r="N190" s="14" t="inlineStr">
        <is>
          <t>Gérant</t>
        </is>
      </c>
      <c r="O190" s="15" t="inlineStr">
        <is>
          <t>5518</t>
        </is>
      </c>
    </row>
    <row r="191" ht="20" customHeight="1">
      <c r="A191" s="16" t="inlineStr">
        <is>
          <t>PAEA-CCISM-0190</t>
        </is>
      </c>
      <c r="B191" s="16" t="inlineStr">
        <is>
          <t>C93107</t>
        </is>
      </c>
      <c r="C191" s="17" t="inlineStr">
        <is>
          <t>WINCHESTER TOM</t>
        </is>
      </c>
      <c r="D191" s="17" t="inlineStr">
        <is>
          <t>98711 PAEA</t>
        </is>
      </c>
      <c r="E191" s="17" t="inlineStr">
        <is>
          <t>Patenté (Personne Physique)</t>
        </is>
      </c>
      <c r="F191" s="17" t="inlineStr">
        <is>
          <t>Patenté</t>
        </is>
      </c>
      <c r="G191" s="16" t="inlineStr">
        <is>
          <t>4690Z</t>
        </is>
      </c>
      <c r="H191" s="16" t="inlineStr">
        <is>
          <t>C</t>
        </is>
      </c>
      <c r="I191" s="17" t="inlineStr">
        <is>
          <t>Commerce</t>
        </is>
      </c>
      <c r="J191" s="18" t="n">
        <v>0</v>
      </c>
      <c r="K191" s="18" t="n">
        <v>1</v>
      </c>
      <c r="L191" s="17" t="inlineStr">
        <is>
          <t>18 1943 A</t>
        </is>
      </c>
      <c r="M191" s="17" t="inlineStr">
        <is>
          <t>M WINCHESTER TOM</t>
        </is>
      </c>
      <c r="N191" s="17" t="inlineStr">
        <is>
          <t>Chef d entreprise</t>
        </is>
      </c>
      <c r="O191" s="18" t="inlineStr">
        <is>
          <t>5591</t>
        </is>
      </c>
    </row>
    <row r="192" ht="20" customHeight="1">
      <c r="A192" s="13" t="inlineStr">
        <is>
          <t>PAEA-CCISM-0191</t>
        </is>
      </c>
      <c r="B192" s="13" t="inlineStr">
        <is>
          <t>A71453</t>
        </is>
      </c>
      <c r="C192" s="14" t="inlineStr">
        <is>
          <t>WONG HIEN NEE HOLGUIN MAREVA FLORE</t>
        </is>
      </c>
      <c r="D192" s="14" t="inlineStr">
        <is>
          <t>98711 PAEA</t>
        </is>
      </c>
      <c r="E192" s="14" t="inlineStr">
        <is>
          <t>Patenté (Personne Physique)</t>
        </is>
      </c>
      <c r="F192" s="14" t="inlineStr">
        <is>
          <t>Patenté</t>
        </is>
      </c>
      <c r="G192" s="13" t="inlineStr">
        <is>
          <t>5610C</t>
        </is>
      </c>
      <c r="H192" s="13" t="inlineStr">
        <is>
          <t>C</t>
        </is>
      </c>
      <c r="I192" s="14" t="inlineStr">
        <is>
          <t>Commerce</t>
        </is>
      </c>
      <c r="J192" s="15" t="n">
        <v>0</v>
      </c>
      <c r="K192" s="15" t="n">
        <v>1</v>
      </c>
      <c r="L192" s="14" t="inlineStr">
        <is>
          <t>13 1099 A</t>
        </is>
      </c>
      <c r="M192" s="14" t="inlineStr">
        <is>
          <t>Mme WONG HIEN (Née HOLGUIN) MAREVA FLORE</t>
        </is>
      </c>
      <c r="N192" s="14" t="inlineStr">
        <is>
          <t>Chef d entreprise</t>
        </is>
      </c>
      <c r="O192" s="15" t="inlineStr">
        <is>
          <t>5614</t>
        </is>
      </c>
    </row>
    <row r="193" ht="20" customHeight="1">
      <c r="A193" s="16" t="inlineStr">
        <is>
          <t>PAEA-CCISM-0192</t>
        </is>
      </c>
      <c r="B193" s="16" t="inlineStr">
        <is>
          <t>068528</t>
        </is>
      </c>
      <c r="C193" s="17" t="inlineStr">
        <is>
          <t>WONG JHON</t>
        </is>
      </c>
      <c r="D193" s="17" t="inlineStr">
        <is>
          <t>98711 PAEA</t>
        </is>
      </c>
      <c r="E193" s="17" t="inlineStr">
        <is>
          <t>Patenté (Personne Physique)</t>
        </is>
      </c>
      <c r="F193" s="17" t="inlineStr">
        <is>
          <t>Patenté</t>
        </is>
      </c>
      <c r="G193" s="16" t="inlineStr">
        <is>
          <t>5610C</t>
        </is>
      </c>
      <c r="H193" s="16" t="inlineStr">
        <is>
          <t>C</t>
        </is>
      </c>
      <c r="I193" s="17" t="inlineStr">
        <is>
          <t>Commerce</t>
        </is>
      </c>
      <c r="J193" s="18" t="n">
        <v>0</v>
      </c>
      <c r="K193" s="18" t="n">
        <v>1</v>
      </c>
      <c r="L193" s="17" t="inlineStr">
        <is>
          <t>14 2396 A</t>
        </is>
      </c>
      <c r="M193" s="17" t="inlineStr">
        <is>
          <t>M WONG JHON</t>
        </is>
      </c>
      <c r="N193" s="17" t="inlineStr">
        <is>
          <t>Chef d entreprise</t>
        </is>
      </c>
      <c r="O193" s="18" t="inlineStr">
        <is>
          <t>5617</t>
        </is>
      </c>
    </row>
    <row r="194" ht="20" customHeight="1">
      <c r="A194" s="13" t="inlineStr">
        <is>
          <t>PAEA-CCISM-0193</t>
        </is>
      </c>
      <c r="B194" s="13" t="inlineStr">
        <is>
          <t>238808</t>
        </is>
      </c>
      <c r="C194" s="14" t="inlineStr">
        <is>
          <t>WONG MIRENA</t>
        </is>
      </c>
      <c r="D194" s="14" t="inlineStr">
        <is>
          <t>AVANT STATION MOBIL 98711 PAEA</t>
        </is>
      </c>
      <c r="E194" s="14" t="inlineStr">
        <is>
          <t>Patenté (Personne Physique)</t>
        </is>
      </c>
      <c r="F194" s="14" t="inlineStr">
        <is>
          <t>Patenté</t>
        </is>
      </c>
      <c r="G194" s="13" t="inlineStr">
        <is>
          <t>4799B</t>
        </is>
      </c>
      <c r="H194" s="13" t="inlineStr">
        <is>
          <t>C</t>
        </is>
      </c>
      <c r="I194" s="14" t="inlineStr">
        <is>
          <t>Commerce</t>
        </is>
      </c>
      <c r="J194" s="15" t="n">
        <v>0</v>
      </c>
      <c r="K194" s="15" t="n">
        <v>1</v>
      </c>
      <c r="L194" s="14" t="inlineStr">
        <is>
          <t>22 2391 A</t>
        </is>
      </c>
      <c r="M194" s="14" t="inlineStr">
        <is>
          <t>Mme WONG MIRENA</t>
        </is>
      </c>
      <c r="N194" s="14" t="inlineStr">
        <is>
          <t>Chef d entreprise</t>
        </is>
      </c>
      <c r="O194" s="15" t="inlineStr">
        <is>
          <t>5624</t>
        </is>
      </c>
    </row>
    <row r="195" ht="20" customHeight="1">
      <c r="A195" s="16" t="inlineStr">
        <is>
          <t>PAEA-CCISM-0194</t>
        </is>
      </c>
      <c r="B195" s="16" t="inlineStr">
        <is>
          <t>032045</t>
        </is>
      </c>
      <c r="C195" s="17" t="inlineStr">
        <is>
          <t>YOU LOUIS</t>
        </is>
      </c>
      <c r="D195" s="17" t="inlineStr">
        <is>
          <t>PAEA PK 21.500 C/MONT 98711 PAEA</t>
        </is>
      </c>
      <c r="E195" s="17" t="inlineStr">
        <is>
          <t>Patenté (Personne Physique)</t>
        </is>
      </c>
      <c r="F195" s="17" t="inlineStr">
        <is>
          <t>Patenté</t>
        </is>
      </c>
      <c r="G195" s="16" t="inlineStr">
        <is>
          <t>4711B</t>
        </is>
      </c>
      <c r="H195" s="16" t="inlineStr">
        <is>
          <t>C</t>
        </is>
      </c>
      <c r="I195" s="17" t="inlineStr">
        <is>
          <t>Commerce</t>
        </is>
      </c>
      <c r="J195" s="18" t="n">
        <v>10</v>
      </c>
      <c r="K195" s="18" t="n">
        <v>2</v>
      </c>
      <c r="L195" s="17" t="inlineStr">
        <is>
          <t>3631 A</t>
        </is>
      </c>
      <c r="M195" s="17" t="inlineStr">
        <is>
          <t>M YOU LOUIS</t>
        </is>
      </c>
      <c r="N195" s="17" t="inlineStr">
        <is>
          <t>Chef d entreprise 5686 194 218 Total voix pour la Catégorie</t>
        </is>
      </c>
      <c r="O195" s="18" t="inlineStr"/>
    </row>
    <row r="196" ht="20" customHeight="1">
      <c r="A196" s="13" t="inlineStr">
        <is>
          <t>PAEA-CCISM-0195</t>
        </is>
      </c>
      <c r="B196" s="13" t="inlineStr">
        <is>
          <t>E49336</t>
        </is>
      </c>
      <c r="C196" s="14" t="inlineStr">
        <is>
          <t>ACTI'SOL</t>
        </is>
      </c>
      <c r="D196" s="14" t="inlineStr">
        <is>
          <t>PK 23,030 CT/MONT 98711 PAEA</t>
        </is>
      </c>
      <c r="E196" s="14" t="inlineStr">
        <is>
          <t>SARL</t>
        </is>
      </c>
      <c r="F196" s="14" t="inlineStr">
        <is>
          <t>Société</t>
        </is>
      </c>
      <c r="G196" s="13" t="inlineStr">
        <is>
          <t>3511Z</t>
        </is>
      </c>
      <c r="H196" s="13" t="inlineStr">
        <is>
          <t>I</t>
        </is>
      </c>
      <c r="I196" s="14" t="inlineStr">
        <is>
          <t>Industrie</t>
        </is>
      </c>
      <c r="J196" s="15" t="n">
        <v>1</v>
      </c>
      <c r="K196" s="15" t="n">
        <v>1</v>
      </c>
      <c r="L196" s="14" t="inlineStr">
        <is>
          <t>21 354 B</t>
        </is>
      </c>
      <c r="M196" s="14" t="inlineStr">
        <is>
          <t>Mme MAUNIER CELINE</t>
        </is>
      </c>
      <c r="N196" s="14" t="inlineStr">
        <is>
          <t>Gérant</t>
        </is>
      </c>
      <c r="O196" s="15" t="inlineStr">
        <is>
          <t>5738</t>
        </is>
      </c>
    </row>
    <row r="197" ht="20" customHeight="1">
      <c r="A197" s="16" t="inlineStr">
        <is>
          <t>PAEA-CCISM-0196</t>
        </is>
      </c>
      <c r="B197" s="16" t="inlineStr">
        <is>
          <t>880245</t>
        </is>
      </c>
      <c r="C197" s="17" t="inlineStr">
        <is>
          <t>ARIIPEU HÉRALD LOUIS RAUFEA</t>
        </is>
      </c>
      <c r="D197" s="17" t="inlineStr">
        <is>
          <t>PAEA PK 19 C/MONT - SERV.VAEHUE N°5 98711 PAEA</t>
        </is>
      </c>
      <c r="E197" s="17" t="inlineStr">
        <is>
          <t>Patenté (Personne Physique)</t>
        </is>
      </c>
      <c r="F197" s="17" t="inlineStr">
        <is>
          <t>Patenté</t>
        </is>
      </c>
      <c r="G197" s="16" t="inlineStr">
        <is>
          <t>5920Z</t>
        </is>
      </c>
      <c r="H197" s="16" t="inlineStr">
        <is>
          <t>I</t>
        </is>
      </c>
      <c r="I197" s="17" t="inlineStr">
        <is>
          <t>Industrie</t>
        </is>
      </c>
      <c r="J197" s="18" t="n">
        <v>0</v>
      </c>
      <c r="K197" s="18" t="n">
        <v>1</v>
      </c>
      <c r="L197" s="17" t="inlineStr">
        <is>
          <t>08 1668 A</t>
        </is>
      </c>
      <c r="M197" s="17" t="inlineStr">
        <is>
          <t>M ARIIPEU HÉRALD LOUIS RAUFEA</t>
        </is>
      </c>
      <c r="N197" s="17" t="inlineStr">
        <is>
          <t>Chef d entreprise</t>
        </is>
      </c>
      <c r="O197" s="18" t="inlineStr">
        <is>
          <t>5777</t>
        </is>
      </c>
    </row>
    <row r="198" ht="20" customHeight="1">
      <c r="A198" s="13" t="inlineStr">
        <is>
          <t>PAEA-CCISM-0197</t>
        </is>
      </c>
      <c r="B198" s="13" t="inlineStr">
        <is>
          <t>544510</t>
        </is>
      </c>
      <c r="C198" s="14" t="inlineStr">
        <is>
          <t>AVA TEA DISTILLATION</t>
        </is>
      </c>
      <c r="D198" s="14" t="inlineStr">
        <is>
          <t>PAEA PK 26.200 C/MONT 98711 PAEA</t>
        </is>
      </c>
      <c r="E198" s="14" t="inlineStr">
        <is>
          <t>SAS</t>
        </is>
      </c>
      <c r="F198" s="14" t="inlineStr">
        <is>
          <t>Société</t>
        </is>
      </c>
      <c r="G198" s="13" t="inlineStr">
        <is>
          <t>1101Z</t>
        </is>
      </c>
      <c r="H198" s="13" t="inlineStr">
        <is>
          <t>I</t>
        </is>
      </c>
      <c r="I198" s="14" t="inlineStr">
        <is>
          <t>Industrie</t>
        </is>
      </c>
      <c r="J198" s="15" t="n">
        <v>12</v>
      </c>
      <c r="K198" s="15" t="n">
        <v>3</v>
      </c>
      <c r="L198" s="14" t="inlineStr">
        <is>
          <t>7686 B</t>
        </is>
      </c>
      <c r="M198" s="14" t="inlineStr">
        <is>
          <t>M BAFFOU FABRICE</t>
        </is>
      </c>
      <c r="N198" s="14" t="inlineStr">
        <is>
          <t>Président de SAS</t>
        </is>
      </c>
      <c r="O198" s="15" t="inlineStr">
        <is>
          <t>5796</t>
        </is>
      </c>
    </row>
    <row r="199" ht="20" customHeight="1">
      <c r="A199" s="16" t="inlineStr">
        <is>
          <t>PAEA-CCISM-0198</t>
        </is>
      </c>
      <c r="B199" s="16" t="inlineStr">
        <is>
          <t>E75174</t>
        </is>
      </c>
      <c r="C199" s="17" t="inlineStr">
        <is>
          <t>BIBI RECYCLAGE</t>
        </is>
      </c>
      <c r="D199" s="17" t="inlineStr">
        <is>
          <t>98711 PAEA</t>
        </is>
      </c>
      <c r="E199" s="17" t="inlineStr">
        <is>
          <t>SARL</t>
        </is>
      </c>
      <c r="F199" s="17" t="inlineStr">
        <is>
          <t>Société</t>
        </is>
      </c>
      <c r="G199" s="16" t="inlineStr">
        <is>
          <t>3811Z</t>
        </is>
      </c>
      <c r="H199" s="16" t="inlineStr">
        <is>
          <t>I</t>
        </is>
      </c>
      <c r="I199" s="17" t="inlineStr">
        <is>
          <t>Industrie</t>
        </is>
      </c>
      <c r="J199" s="18" t="n">
        <v>0</v>
      </c>
      <c r="K199" s="18" t="n">
        <v>1</v>
      </c>
      <c r="L199" s="17" t="inlineStr">
        <is>
          <t>22 124 B</t>
        </is>
      </c>
      <c r="M199" s="17" t="inlineStr">
        <is>
          <t>M BIREAU DIDIER</t>
        </is>
      </c>
      <c r="N199" s="17" t="inlineStr">
        <is>
          <t>Autre</t>
        </is>
      </c>
      <c r="O199" s="18" t="inlineStr">
        <is>
          <t>5815</t>
        </is>
      </c>
    </row>
    <row r="200" ht="20" customHeight="1">
      <c r="A200" s="13" t="inlineStr">
        <is>
          <t>PAEA-CCISM-0199</t>
        </is>
      </c>
      <c r="B200" s="13" t="inlineStr">
        <is>
          <t>F38261</t>
        </is>
      </c>
      <c r="C200" s="14" t="inlineStr">
        <is>
          <t>BLOY</t>
        </is>
      </c>
      <c r="D200" s="14" t="inlineStr">
        <is>
          <t>RESIDENCE FARE MITI 1° ETAGE APPART N° 18 98711 PAEA</t>
        </is>
      </c>
      <c r="E200" s="14" t="inlineStr">
        <is>
          <t>Patenté (Personne Physique)</t>
        </is>
      </c>
      <c r="F200" s="14" t="inlineStr">
        <is>
          <t>Patenté</t>
        </is>
      </c>
      <c r="G200" s="13" t="inlineStr">
        <is>
          <t>3311Z</t>
        </is>
      </c>
      <c r="H200" s="13" t="inlineStr">
        <is>
          <t>I</t>
        </is>
      </c>
      <c r="I200" s="14" t="inlineStr">
        <is>
          <t>Industrie</t>
        </is>
      </c>
      <c r="J200" s="15" t="n">
        <v>0</v>
      </c>
      <c r="K200" s="15" t="n">
        <v>1</v>
      </c>
      <c r="L200" s="14" t="inlineStr">
        <is>
          <t>23 1659 A</t>
        </is>
      </c>
      <c r="M200" s="14" t="inlineStr">
        <is>
          <t>M BLOY</t>
        </is>
      </c>
      <c r="N200" s="14" t="inlineStr">
        <is>
          <t>Chef d entreprise</t>
        </is>
      </c>
      <c r="O200" s="15" t="inlineStr">
        <is>
          <t>5818</t>
        </is>
      </c>
    </row>
    <row r="201" ht="20" customHeight="1">
      <c r="A201" s="16" t="inlineStr">
        <is>
          <t>PAEA-CCISM-0200</t>
        </is>
      </c>
      <c r="B201" s="16" t="inlineStr">
        <is>
          <t>D08376</t>
        </is>
      </c>
      <c r="C201" s="17" t="inlineStr">
        <is>
          <t>CONCEPT PEINTURE</t>
        </is>
      </c>
      <c r="D201" s="17" t="inlineStr">
        <is>
          <t>LOT PAPEHUE 1 98711 PAEA</t>
        </is>
      </c>
      <c r="E201" s="17" t="inlineStr">
        <is>
          <t>SARL</t>
        </is>
      </c>
      <c r="F201" s="17" t="inlineStr">
        <is>
          <t>Société</t>
        </is>
      </c>
      <c r="G201" s="16" t="inlineStr">
        <is>
          <t>4333Z</t>
        </is>
      </c>
      <c r="H201" s="16" t="inlineStr">
        <is>
          <t>I</t>
        </is>
      </c>
      <c r="I201" s="17" t="inlineStr">
        <is>
          <t>Industrie</t>
        </is>
      </c>
      <c r="J201" s="18" t="n">
        <v>10</v>
      </c>
      <c r="K201" s="18" t="n">
        <v>2</v>
      </c>
      <c r="L201" s="17" t="inlineStr">
        <is>
          <t>18 418 B</t>
        </is>
      </c>
      <c r="M201" s="17" t="inlineStr">
        <is>
          <t>M FENEZ GERARD</t>
        </is>
      </c>
      <c r="N201" s="17" t="inlineStr">
        <is>
          <t>Gérant</t>
        </is>
      </c>
      <c r="O201" s="18" t="inlineStr">
        <is>
          <t>5877</t>
        </is>
      </c>
    </row>
    <row r="202" ht="20" customHeight="1">
      <c r="A202" s="13" t="inlineStr">
        <is>
          <t>PAEA-CCISM-0201</t>
        </is>
      </c>
      <c r="B202" s="13" t="inlineStr">
        <is>
          <t>949206</t>
        </is>
      </c>
      <c r="C202" s="14" t="inlineStr">
        <is>
          <t>FIRUU BEN</t>
        </is>
      </c>
      <c r="D202" s="14" t="inlineStr">
        <is>
          <t>98711 PAEA</t>
        </is>
      </c>
      <c r="E202" s="14" t="inlineStr">
        <is>
          <t>Patenté (Personne Physique)</t>
        </is>
      </c>
      <c r="F202" s="14" t="inlineStr">
        <is>
          <t>Patenté</t>
        </is>
      </c>
      <c r="G202" s="13" t="inlineStr">
        <is>
          <t>4332A</t>
        </is>
      </c>
      <c r="H202" s="13" t="inlineStr">
        <is>
          <t>I</t>
        </is>
      </c>
      <c r="I202" s="14" t="inlineStr">
        <is>
          <t>Industrie</t>
        </is>
      </c>
      <c r="J202" s="15" t="n">
        <v>8</v>
      </c>
      <c r="K202" s="15" t="n">
        <v>2</v>
      </c>
      <c r="L202" s="14" t="inlineStr">
        <is>
          <t>19 2756 A</t>
        </is>
      </c>
      <c r="M202" s="14" t="inlineStr">
        <is>
          <t>M FIRUU BEN</t>
        </is>
      </c>
      <c r="N202" s="14" t="inlineStr">
        <is>
          <t>Chef d entreprise</t>
        </is>
      </c>
      <c r="O202" s="15" t="inlineStr">
        <is>
          <t>6002</t>
        </is>
      </c>
    </row>
    <row r="203" ht="20" customHeight="1">
      <c r="A203" s="16" t="inlineStr">
        <is>
          <t>PAEA-CCISM-0202</t>
        </is>
      </c>
      <c r="B203" s="16" t="inlineStr">
        <is>
          <t>942771</t>
        </is>
      </c>
      <c r="C203" s="17" t="inlineStr">
        <is>
          <t>HANTZEN CHRISTOPHE</t>
        </is>
      </c>
      <c r="D203" s="17" t="inlineStr">
        <is>
          <t>98711 PAEA</t>
        </is>
      </c>
      <c r="E203" s="17" t="inlineStr">
        <is>
          <t>Patenté (Personne Physique)</t>
        </is>
      </c>
      <c r="F203" s="17" t="inlineStr">
        <is>
          <t>Patenté</t>
        </is>
      </c>
      <c r="G203" s="16" t="inlineStr">
        <is>
          <t>5920Z</t>
        </is>
      </c>
      <c r="H203" s="16" t="inlineStr">
        <is>
          <t>I</t>
        </is>
      </c>
      <c r="I203" s="17" t="inlineStr">
        <is>
          <t>Industrie</t>
        </is>
      </c>
      <c r="J203" s="18" t="n">
        <v>0</v>
      </c>
      <c r="K203" s="18" t="n">
        <v>1</v>
      </c>
      <c r="L203" s="17" t="inlineStr">
        <is>
          <t>24 1392 A</t>
        </is>
      </c>
      <c r="M203" s="17" t="inlineStr">
        <is>
          <t>M HANTZEN CHRISTOPHE</t>
        </is>
      </c>
      <c r="N203" s="17" t="inlineStr">
        <is>
          <t>Chef d entreprise</t>
        </is>
      </c>
      <c r="O203" s="18" t="inlineStr">
        <is>
          <t>6045</t>
        </is>
      </c>
    </row>
    <row r="204" ht="20" customHeight="1">
      <c r="A204" s="13" t="inlineStr">
        <is>
          <t>PAEA-CCISM-0203</t>
        </is>
      </c>
      <c r="B204" s="13" t="inlineStr">
        <is>
          <t>573618</t>
        </is>
      </c>
      <c r="C204" s="14" t="inlineStr">
        <is>
          <t>HEÏVA COSMETIQUES DE TAHITI</t>
        </is>
      </c>
      <c r="D204" s="14" t="inlineStr">
        <is>
          <t>98711 PAEA</t>
        </is>
      </c>
      <c r="E204" s="14" t="inlineStr">
        <is>
          <t>SARL</t>
        </is>
      </c>
      <c r="F204" s="14" t="inlineStr">
        <is>
          <t>Société</t>
        </is>
      </c>
      <c r="G204" s="13" t="inlineStr">
        <is>
          <t>2041Z</t>
        </is>
      </c>
      <c r="H204" s="13" t="inlineStr">
        <is>
          <t>I</t>
        </is>
      </c>
      <c r="I204" s="14" t="inlineStr">
        <is>
          <t>Industrie</t>
        </is>
      </c>
      <c r="J204" s="15" t="n">
        <v>9</v>
      </c>
      <c r="K204" s="15" t="n">
        <v>2</v>
      </c>
      <c r="L204" s="14" t="inlineStr">
        <is>
          <t>8103 B</t>
        </is>
      </c>
      <c r="M204" s="14" t="inlineStr">
        <is>
          <t>M MAUNIER PHILIPPE</t>
        </is>
      </c>
      <c r="N204" s="14" t="inlineStr">
        <is>
          <t>Gérant</t>
        </is>
      </c>
      <c r="O204" s="15" t="inlineStr">
        <is>
          <t>6058</t>
        </is>
      </c>
    </row>
    <row r="205" ht="20" customHeight="1">
      <c r="A205" s="16" t="inlineStr">
        <is>
          <t>PAEA-CCISM-0204</t>
        </is>
      </c>
      <c r="B205" s="16" t="inlineStr">
        <is>
          <t>F95378</t>
        </is>
      </c>
      <c r="C205" s="17" t="inlineStr">
        <is>
          <t>HH TOUS TRAVAUX</t>
        </is>
      </c>
      <c r="D205" s="17" t="inlineStr">
        <is>
          <t>N°54 SERV VAITIARE 1 98711 PAEA</t>
        </is>
      </c>
      <c r="E205" s="17" t="inlineStr">
        <is>
          <t>SARL Unipersonnelle</t>
        </is>
      </c>
      <c r="F205" s="17" t="inlineStr">
        <is>
          <t>Société</t>
        </is>
      </c>
      <c r="G205" s="16" t="inlineStr">
        <is>
          <t>4120A</t>
        </is>
      </c>
      <c r="H205" s="16" t="inlineStr">
        <is>
          <t>I</t>
        </is>
      </c>
      <c r="I205" s="17" t="inlineStr">
        <is>
          <t>Industrie</t>
        </is>
      </c>
      <c r="J205" s="18" t="n">
        <v>9</v>
      </c>
      <c r="K205" s="18" t="n">
        <v>2</v>
      </c>
      <c r="L205" s="17" t="inlineStr">
        <is>
          <t>24 225 B</t>
        </is>
      </c>
      <c r="M205" s="17" t="inlineStr">
        <is>
          <t>Mme HUUTI (Née HURI) EDGARINE</t>
        </is>
      </c>
      <c r="N205" s="17" t="inlineStr">
        <is>
          <t>Gérant</t>
        </is>
      </c>
      <c r="O205" s="18" t="inlineStr">
        <is>
          <t>6061</t>
        </is>
      </c>
    </row>
    <row r="206" ht="20" customHeight="1">
      <c r="A206" s="13" t="inlineStr">
        <is>
          <t>PAEA-CCISM-0205</t>
        </is>
      </c>
      <c r="B206" s="13" t="inlineStr">
        <is>
          <t>D92073</t>
        </is>
      </c>
      <c r="C206" s="14" t="inlineStr">
        <is>
          <t>HUUTI NEE HURI EDGARINE MANUIA</t>
        </is>
      </c>
      <c r="D206" s="14" t="inlineStr">
        <is>
          <t>3 RTE DU LOTISSEMENT VAITIARE 98711 PAEA</t>
        </is>
      </c>
      <c r="E206" s="14" t="inlineStr">
        <is>
          <t>Patenté (Personne Physique)</t>
        </is>
      </c>
      <c r="F206" s="14" t="inlineStr">
        <is>
          <t>Patenté</t>
        </is>
      </c>
      <c r="G206" s="13" t="inlineStr">
        <is>
          <t>4120A</t>
        </is>
      </c>
      <c r="H206" s="13" t="inlineStr">
        <is>
          <t>I</t>
        </is>
      </c>
      <c r="I206" s="14" t="inlineStr">
        <is>
          <t>Industrie</t>
        </is>
      </c>
      <c r="J206" s="15" t="n">
        <v>9</v>
      </c>
      <c r="K206" s="15" t="n">
        <v>2</v>
      </c>
      <c r="L206" s="14" t="inlineStr">
        <is>
          <t>20 2110 A</t>
        </is>
      </c>
      <c r="M206" s="14" t="inlineStr">
        <is>
          <t>Mme HUUTI (Née HURI) EDGARINE MANUIA</t>
        </is>
      </c>
      <c r="N206" s="14" t="inlineStr">
        <is>
          <t>Chef d entreprise</t>
        </is>
      </c>
      <c r="O206" s="15" t="inlineStr">
        <is>
          <t>6083</t>
        </is>
      </c>
    </row>
    <row r="207" ht="20" customHeight="1">
      <c r="A207" s="16" t="inlineStr">
        <is>
          <t>PAEA-CCISM-0206</t>
        </is>
      </c>
      <c r="B207" s="16" t="inlineStr">
        <is>
          <t>E13159</t>
        </is>
      </c>
      <c r="C207" s="17" t="inlineStr">
        <is>
          <t>JAMET HEIMATA</t>
        </is>
      </c>
      <c r="D207" s="17" t="inlineStr">
        <is>
          <t>RTE SERVITUDE CADOUSTEAU 98711 PAEA</t>
        </is>
      </c>
      <c r="E207" s="17" t="inlineStr">
        <is>
          <t>Patenté (Personne Physique)</t>
        </is>
      </c>
      <c r="F207" s="17" t="inlineStr">
        <is>
          <t>Patenté</t>
        </is>
      </c>
      <c r="G207" s="16" t="inlineStr">
        <is>
          <t>0128Z</t>
        </is>
      </c>
      <c r="H207" s="16" t="inlineStr">
        <is>
          <t>I</t>
        </is>
      </c>
      <c r="I207" s="17" t="inlineStr">
        <is>
          <t>Industrie</t>
        </is>
      </c>
      <c r="J207" s="18" t="n">
        <v>0</v>
      </c>
      <c r="K207" s="18" t="n">
        <v>1</v>
      </c>
      <c r="L207" s="17" t="inlineStr">
        <is>
          <t>22 3164 A</t>
        </is>
      </c>
      <c r="M207" s="17" t="inlineStr">
        <is>
          <t>M JAMET HEIMATA</t>
        </is>
      </c>
      <c r="N207" s="17" t="inlineStr">
        <is>
          <t>Chef d entreprise</t>
        </is>
      </c>
      <c r="O207" s="18" t="inlineStr">
        <is>
          <t>6100</t>
        </is>
      </c>
    </row>
    <row r="208" ht="20" customHeight="1">
      <c r="A208" s="13" t="inlineStr">
        <is>
          <t>PAEA-CCISM-0207</t>
        </is>
      </c>
      <c r="B208" s="13" t="inlineStr">
        <is>
          <t>F83218</t>
        </is>
      </c>
      <c r="C208" s="14" t="inlineStr">
        <is>
          <t>KH BAT</t>
        </is>
      </c>
      <c r="D208" s="14" t="inlineStr">
        <is>
          <t>FACE ECOLE VAIATU 98711 PAEA</t>
        </is>
      </c>
      <c r="E208" s="14" t="inlineStr">
        <is>
          <t>SARL Unipersonnelle</t>
        </is>
      </c>
      <c r="F208" s="14" t="inlineStr">
        <is>
          <t>Société</t>
        </is>
      </c>
      <c r="G208" s="13" t="inlineStr">
        <is>
          <t>4120A</t>
        </is>
      </c>
      <c r="H208" s="13" t="inlineStr">
        <is>
          <t>I</t>
        </is>
      </c>
      <c r="I208" s="14" t="inlineStr">
        <is>
          <t>Industrie</t>
        </is>
      </c>
      <c r="J208" s="15" t="n">
        <v>8</v>
      </c>
      <c r="K208" s="15" t="n">
        <v>2</v>
      </c>
      <c r="L208" s="14" t="inlineStr">
        <is>
          <t>24 132 B</t>
        </is>
      </c>
      <c r="M208" s="14" t="inlineStr">
        <is>
          <t>M HITUPUTOKA BORIS</t>
        </is>
      </c>
      <c r="N208" s="14" t="inlineStr">
        <is>
          <t>Autre</t>
        </is>
      </c>
      <c r="O208" s="15" t="inlineStr">
        <is>
          <t>6119</t>
        </is>
      </c>
    </row>
    <row r="209" ht="20" customHeight="1">
      <c r="A209" s="16" t="inlineStr">
        <is>
          <t>PAEA-CCISM-0208</t>
        </is>
      </c>
      <c r="B209" s="16" t="inlineStr">
        <is>
          <t>F19402</t>
        </is>
      </c>
      <c r="C209" s="17" t="inlineStr">
        <is>
          <t>M.V SERVICES</t>
        </is>
      </c>
      <c r="D209" s="17" t="inlineStr">
        <is>
          <t>N°17 LOTISSEMENT CPS 98711 PAEA</t>
        </is>
      </c>
      <c r="E209" s="17" t="inlineStr">
        <is>
          <t>SARL</t>
        </is>
      </c>
      <c r="F209" s="17" t="inlineStr">
        <is>
          <t>Société</t>
        </is>
      </c>
      <c r="G209" s="16" t="inlineStr">
        <is>
          <t>4321A</t>
        </is>
      </c>
      <c r="H209" s="16" t="inlineStr">
        <is>
          <t>I</t>
        </is>
      </c>
      <c r="I209" s="17" t="inlineStr">
        <is>
          <t>Industrie</t>
        </is>
      </c>
      <c r="J209" s="18" t="n">
        <v>14</v>
      </c>
      <c r="K209" s="18" t="n">
        <v>3</v>
      </c>
      <c r="L209" s="17" t="inlineStr">
        <is>
          <t>23 35 B</t>
        </is>
      </c>
      <c r="M209" s="17" t="inlineStr">
        <is>
          <t>M ANIHIA EMILE</t>
        </is>
      </c>
      <c r="N209" s="17" t="inlineStr">
        <is>
          <t>Autre</t>
        </is>
      </c>
      <c r="O209" s="18" t="inlineStr">
        <is>
          <t>6168</t>
        </is>
      </c>
    </row>
    <row r="210" ht="20" customHeight="1">
      <c r="A210" s="13" t="inlineStr">
        <is>
          <t>PAEA-CCISM-0209</t>
        </is>
      </c>
      <c r="B210" s="13" t="inlineStr">
        <is>
          <t>E42216</t>
        </is>
      </c>
      <c r="C210" s="14" t="inlineStr">
        <is>
          <t>MOUCHAGUE VICTOR, MATHIAS</t>
        </is>
      </c>
      <c r="D210" s="14" t="inlineStr">
        <is>
          <t>98711 PAEA</t>
        </is>
      </c>
      <c r="E210" s="14" t="inlineStr">
        <is>
          <t>Patenté (Personne Physique)</t>
        </is>
      </c>
      <c r="F210" s="14" t="inlineStr">
        <is>
          <t>Patenté</t>
        </is>
      </c>
      <c r="G210" s="13" t="inlineStr">
        <is>
          <t>8020Z</t>
        </is>
      </c>
      <c r="H210" s="13" t="inlineStr">
        <is>
          <t>I</t>
        </is>
      </c>
      <c r="I210" s="14" t="inlineStr">
        <is>
          <t>Industrie</t>
        </is>
      </c>
      <c r="J210" s="15" t="n">
        <v>0</v>
      </c>
      <c r="K210" s="15" t="n">
        <v>1</v>
      </c>
      <c r="L210" s="14" t="inlineStr">
        <is>
          <t>21 2373 A</t>
        </is>
      </c>
      <c r="M210" s="14" t="inlineStr">
        <is>
          <t>M MOUCHAGUE VICTOR, MATHIAS</t>
        </is>
      </c>
      <c r="N210" s="14" t="inlineStr">
        <is>
          <t>Chef d entreprise</t>
        </is>
      </c>
      <c r="O210" s="15" t="inlineStr">
        <is>
          <t>6245</t>
        </is>
      </c>
    </row>
    <row r="211" ht="20" customHeight="1">
      <c r="A211" s="16" t="inlineStr">
        <is>
          <t>PAEA-CCISM-0210</t>
        </is>
      </c>
      <c r="B211" s="16" t="inlineStr">
        <is>
          <t>447938</t>
        </is>
      </c>
      <c r="C211" s="17" t="inlineStr">
        <is>
          <t>PITO PEGGY ANI</t>
        </is>
      </c>
      <c r="D211" s="17" t="inlineStr">
        <is>
          <t>FACE AMUIRA EBENE-EZERA 98711 PAEA</t>
        </is>
      </c>
      <c r="E211" s="17" t="inlineStr">
        <is>
          <t>Patenté (Personne Physique)</t>
        </is>
      </c>
      <c r="F211" s="17" t="inlineStr">
        <is>
          <t>Patenté</t>
        </is>
      </c>
      <c r="G211" s="16" t="inlineStr">
        <is>
          <t>3530Z</t>
        </is>
      </c>
      <c r="H211" s="16" t="inlineStr">
        <is>
          <t>I</t>
        </is>
      </c>
      <c r="I211" s="17" t="inlineStr">
        <is>
          <t>Industrie</t>
        </is>
      </c>
      <c r="J211" s="18" t="n">
        <v>0</v>
      </c>
      <c r="K211" s="18" t="n">
        <v>1</v>
      </c>
      <c r="L211" s="17" t="inlineStr">
        <is>
          <t>16 2443 A</t>
        </is>
      </c>
      <c r="M211" s="17" t="inlineStr">
        <is>
          <t>Mme PITO PEGGY ANI</t>
        </is>
      </c>
      <c r="N211" s="17" t="inlineStr">
        <is>
          <t>Chef d entreprise</t>
        </is>
      </c>
      <c r="O211" s="18" t="inlineStr">
        <is>
          <t>6325</t>
        </is>
      </c>
    </row>
    <row r="212" ht="20" customHeight="1">
      <c r="A212" s="13" t="inlineStr">
        <is>
          <t>PAEA-CCISM-0211</t>
        </is>
      </c>
      <c r="B212" s="13" t="inlineStr">
        <is>
          <t>C38367</t>
        </is>
      </c>
      <c r="C212" s="14" t="inlineStr">
        <is>
          <t>POLYETANCHE</t>
        </is>
      </c>
      <c r="D212" s="14" t="inlineStr">
        <is>
          <t>98711 PAEA</t>
        </is>
      </c>
      <c r="E212" s="14" t="inlineStr">
        <is>
          <t>SARL</t>
        </is>
      </c>
      <c r="F212" s="14" t="inlineStr">
        <is>
          <t>Société</t>
        </is>
      </c>
      <c r="G212" s="13" t="inlineStr">
        <is>
          <t>4399A</t>
        </is>
      </c>
      <c r="H212" s="13" t="inlineStr">
        <is>
          <t>I</t>
        </is>
      </c>
      <c r="I212" s="14" t="inlineStr">
        <is>
          <t>Industrie</t>
        </is>
      </c>
      <c r="J212" s="15" t="n">
        <v>12</v>
      </c>
      <c r="K212" s="15" t="n">
        <v>3</v>
      </c>
      <c r="L212" s="14" t="inlineStr">
        <is>
          <t>17 155 B</t>
        </is>
      </c>
      <c r="M212" s="14" t="inlineStr">
        <is>
          <t>M GEFFROY JEROME</t>
        </is>
      </c>
      <c r="N212" s="14" t="inlineStr">
        <is>
          <t>Gérant</t>
        </is>
      </c>
      <c r="O212" s="15" t="inlineStr">
        <is>
          <t>6332</t>
        </is>
      </c>
    </row>
    <row r="213" ht="20" customHeight="1">
      <c r="A213" s="16" t="inlineStr">
        <is>
          <t>PAEA-CCISM-0212</t>
        </is>
      </c>
      <c r="B213" s="16" t="inlineStr">
        <is>
          <t>A92467</t>
        </is>
      </c>
      <c r="C213" s="17" t="inlineStr">
        <is>
          <t>SACAULT YANNICK</t>
        </is>
      </c>
      <c r="D213" s="17" t="inlineStr">
        <is>
          <t>98711 PAEA</t>
        </is>
      </c>
      <c r="E213" s="17" t="inlineStr">
        <is>
          <t>Patenté (Personne Physique)</t>
        </is>
      </c>
      <c r="F213" s="17" t="inlineStr">
        <is>
          <t>Patenté</t>
        </is>
      </c>
      <c r="G213" s="16" t="inlineStr">
        <is>
          <t>3311Z</t>
        </is>
      </c>
      <c r="H213" s="16" t="inlineStr">
        <is>
          <t>I</t>
        </is>
      </c>
      <c r="I213" s="17" t="inlineStr">
        <is>
          <t>Industrie</t>
        </is>
      </c>
      <c r="J213" s="18" t="n">
        <v>0</v>
      </c>
      <c r="K213" s="18" t="n">
        <v>1</v>
      </c>
      <c r="L213" s="17" t="inlineStr">
        <is>
          <t>21 2590 A</t>
        </is>
      </c>
      <c r="M213" s="17" t="inlineStr">
        <is>
          <t>M SACAULT YANNICK</t>
        </is>
      </c>
      <c r="N213" s="17" t="inlineStr">
        <is>
          <t>Chef d entreprise</t>
        </is>
      </c>
      <c r="O213" s="18" t="inlineStr">
        <is>
          <t>6415</t>
        </is>
      </c>
    </row>
    <row r="214" ht="20" customHeight="1">
      <c r="A214" s="13" t="inlineStr">
        <is>
          <t>PAEA-CCISM-0213</t>
        </is>
      </c>
      <c r="B214" s="13" t="inlineStr">
        <is>
          <t>E03853</t>
        </is>
      </c>
      <c r="C214" s="14" t="inlineStr">
        <is>
          <t>SARL PRO ENERGIE</t>
        </is>
      </c>
      <c r="D214" s="14" t="inlineStr">
        <is>
          <t>535 LOT A TERRE TEITEI ET TEURUFARAPA 98711 PAEA</t>
        </is>
      </c>
      <c r="E214" s="14" t="inlineStr">
        <is>
          <t>SARL</t>
        </is>
      </c>
      <c r="F214" s="14" t="inlineStr">
        <is>
          <t>Société</t>
        </is>
      </c>
      <c r="G214" s="13" t="inlineStr">
        <is>
          <t>3511Z</t>
        </is>
      </c>
      <c r="H214" s="13" t="inlineStr">
        <is>
          <t>I</t>
        </is>
      </c>
      <c r="I214" s="14" t="inlineStr">
        <is>
          <t>Industrie</t>
        </is>
      </c>
      <c r="J214" s="15" t="n">
        <v>15</v>
      </c>
      <c r="K214" s="15" t="n">
        <v>3</v>
      </c>
      <c r="L214" s="14" t="inlineStr">
        <is>
          <t>20 357 B</t>
        </is>
      </c>
      <c r="M214" s="14" t="inlineStr">
        <is>
          <t>M MARCHANDISE JULIEN</t>
        </is>
      </c>
      <c r="N214" s="14" t="inlineStr">
        <is>
          <t>Gérant</t>
        </is>
      </c>
      <c r="O214" s="15" t="inlineStr">
        <is>
          <t>6426</t>
        </is>
      </c>
    </row>
    <row r="215" ht="20" customHeight="1">
      <c r="A215" s="16" t="inlineStr">
        <is>
          <t>PAEA-CCISM-0214</t>
        </is>
      </c>
      <c r="B215" s="16" t="inlineStr">
        <is>
          <t>F52379</t>
        </is>
      </c>
      <c r="C215" s="17" t="inlineStr">
        <is>
          <t>SCIERIE DE TUBUAI</t>
        </is>
      </c>
      <c r="D215" s="17" t="inlineStr">
        <is>
          <t>VALLEE DE OROFERO 98711 PAEA</t>
        </is>
      </c>
      <c r="E215" s="17" t="inlineStr">
        <is>
          <t>SARL</t>
        </is>
      </c>
      <c r="F215" s="17" t="inlineStr">
        <is>
          <t>Société</t>
        </is>
      </c>
      <c r="G215" s="16" t="inlineStr">
        <is>
          <t>1610A</t>
        </is>
      </c>
      <c r="H215" s="16" t="inlineStr">
        <is>
          <t>I</t>
        </is>
      </c>
      <c r="I215" s="17" t="inlineStr">
        <is>
          <t>Industrie</t>
        </is>
      </c>
      <c r="J215" s="18" t="n">
        <v>6</v>
      </c>
      <c r="K215" s="18" t="n">
        <v>2</v>
      </c>
      <c r="L215" s="17" t="inlineStr">
        <is>
          <t>23 345 B</t>
        </is>
      </c>
      <c r="M215" s="17" t="inlineStr">
        <is>
          <t>M VAVASEUR FABIEN</t>
        </is>
      </c>
      <c r="N215" s="17" t="inlineStr">
        <is>
          <t>Gérant</t>
        </is>
      </c>
      <c r="O215" s="18" t="inlineStr">
        <is>
          <t>6463</t>
        </is>
      </c>
    </row>
    <row r="216" ht="20" customHeight="1">
      <c r="A216" s="13" t="inlineStr">
        <is>
          <t>PAEA-CCISM-0215</t>
        </is>
      </c>
      <c r="B216" s="13" t="inlineStr">
        <is>
          <t>A13166</t>
        </is>
      </c>
      <c r="C216" s="14" t="inlineStr">
        <is>
          <t>TAPU MILTON</t>
        </is>
      </c>
      <c r="D216" s="14" t="inlineStr">
        <is>
          <t>PK 27.200 C/MONT QTIER RICHMOND 98711 PAEA</t>
        </is>
      </c>
      <c r="E216" s="14" t="inlineStr">
        <is>
          <t>Patenté (Personne Physique)</t>
        </is>
      </c>
      <c r="F216" s="14" t="inlineStr">
        <is>
          <t>Patenté</t>
        </is>
      </c>
      <c r="G216" s="13" t="inlineStr">
        <is>
          <t>4120B</t>
        </is>
      </c>
      <c r="H216" s="13" t="inlineStr">
        <is>
          <t>I</t>
        </is>
      </c>
      <c r="I216" s="14" t="inlineStr">
        <is>
          <t>Industrie</t>
        </is>
      </c>
      <c r="J216" s="15" t="n">
        <v>10</v>
      </c>
      <c r="K216" s="15" t="n">
        <v>2</v>
      </c>
      <c r="L216" s="14" t="inlineStr">
        <is>
          <t>22 2782 A</t>
        </is>
      </c>
      <c r="M216" s="14" t="inlineStr">
        <is>
          <t>M TAPU MILTON</t>
        </is>
      </c>
      <c r="N216" s="14" t="inlineStr">
        <is>
          <t>Chef d entreprise</t>
        </is>
      </c>
      <c r="O216" s="15" t="inlineStr">
        <is>
          <t>6581</t>
        </is>
      </c>
    </row>
    <row r="217" ht="20" customHeight="1">
      <c r="A217" s="16" t="inlineStr">
        <is>
          <t>PAEA-CCISM-0216</t>
        </is>
      </c>
      <c r="B217" s="16" t="inlineStr">
        <is>
          <t>289991</t>
        </is>
      </c>
      <c r="C217" s="17" t="inlineStr">
        <is>
          <t>TERIITAHI JACQUES</t>
        </is>
      </c>
      <c r="D217" s="17" t="inlineStr">
        <is>
          <t>98711 PAEA</t>
        </is>
      </c>
      <c r="E217" s="17" t="inlineStr">
        <is>
          <t>Patenté (Personne Physique)</t>
        </is>
      </c>
      <c r="F217" s="17" t="inlineStr">
        <is>
          <t>Patenté</t>
        </is>
      </c>
      <c r="G217" s="16" t="inlineStr">
        <is>
          <t>4120A</t>
        </is>
      </c>
      <c r="H217" s="16" t="inlineStr">
        <is>
          <t>I</t>
        </is>
      </c>
      <c r="I217" s="17" t="inlineStr">
        <is>
          <t>Industrie</t>
        </is>
      </c>
      <c r="J217" s="18" t="n">
        <v>5</v>
      </c>
      <c r="K217" s="18" t="n">
        <v>1</v>
      </c>
      <c r="L217" s="17" t="inlineStr"/>
      <c r="M217" s="17" t="inlineStr">
        <is>
          <t>23 2850 A</t>
        </is>
      </c>
      <c r="N217" s="17" t="inlineStr"/>
      <c r="O217" s="18" t="inlineStr"/>
    </row>
    <row r="218" ht="20" customHeight="1">
      <c r="A218" s="13" t="inlineStr">
        <is>
          <t>PAEA-CCISM-0217</t>
        </is>
      </c>
      <c r="B218" s="13" t="inlineStr">
        <is>
          <t>643650</t>
        </is>
      </c>
      <c r="C218" s="14" t="inlineStr">
        <is>
          <t>TI AI MOANA</t>
        </is>
      </c>
      <c r="D218" s="14" t="inlineStr">
        <is>
          <t>PAEA 98711 PAEA</t>
        </is>
      </c>
      <c r="E218" s="14" t="inlineStr">
        <is>
          <t>SARL</t>
        </is>
      </c>
      <c r="F218" s="14" t="inlineStr">
        <is>
          <t>Société</t>
        </is>
      </c>
      <c r="G218" s="13" t="inlineStr">
        <is>
          <t>4291Z</t>
        </is>
      </c>
      <c r="H218" s="13" t="inlineStr">
        <is>
          <t>I</t>
        </is>
      </c>
      <c r="I218" s="14" t="inlineStr">
        <is>
          <t>Industrie</t>
        </is>
      </c>
      <c r="J218" s="15" t="n">
        <v>13</v>
      </c>
      <c r="K218" s="15" t="n">
        <v>3</v>
      </c>
      <c r="L218" s="14" t="inlineStr">
        <is>
          <t>9083 B</t>
        </is>
      </c>
      <c r="M218" s="14" t="inlineStr">
        <is>
          <t>M BRIGATO NICOLAS</t>
        </is>
      </c>
      <c r="N218" s="14" t="inlineStr"/>
      <c r="O218" s="15" t="inlineStr">
        <is>
          <t>6675</t>
        </is>
      </c>
    </row>
    <row r="219" ht="20" customHeight="1">
      <c r="A219" s="16" t="inlineStr">
        <is>
          <t>PAEA-CCISM-0218</t>
        </is>
      </c>
      <c r="B219" s="16" t="inlineStr">
        <is>
          <t>A54020</t>
        </is>
      </c>
      <c r="C219" s="17" t="inlineStr">
        <is>
          <t>TOATITI AIRORO</t>
        </is>
      </c>
      <c r="D219" s="17" t="inlineStr">
        <is>
          <t>PK 20.800 COTÉ MONTAGNE QTR TARANO 98711 PAEA</t>
        </is>
      </c>
      <c r="E219" s="17" t="inlineStr">
        <is>
          <t>Patenté (Personne Physique)</t>
        </is>
      </c>
      <c r="F219" s="17" t="inlineStr">
        <is>
          <t>Patenté</t>
        </is>
      </c>
      <c r="G219" s="16" t="inlineStr">
        <is>
          <t>0113Z</t>
        </is>
      </c>
      <c r="H219" s="16" t="inlineStr">
        <is>
          <t>I</t>
        </is>
      </c>
      <c r="I219" s="17" t="inlineStr">
        <is>
          <t>Industrie</t>
        </is>
      </c>
      <c r="J219" s="18" t="n">
        <v>0</v>
      </c>
      <c r="K219" s="18" t="n">
        <v>1</v>
      </c>
      <c r="L219" s="17" t="inlineStr">
        <is>
          <t>25 1644 A</t>
        </is>
      </c>
      <c r="M219" s="17" t="inlineStr">
        <is>
          <t>Mme TOATITI AIRORO</t>
        </is>
      </c>
      <c r="N219" s="17" t="inlineStr">
        <is>
          <t>Chef d entreprise</t>
        </is>
      </c>
      <c r="O219" s="18" t="inlineStr">
        <is>
          <t>6685</t>
        </is>
      </c>
    </row>
    <row r="220" ht="20" customHeight="1">
      <c r="A220" s="13" t="inlineStr">
        <is>
          <t>PAEA-CCISM-0219</t>
        </is>
      </c>
      <c r="B220" s="13" t="inlineStr">
        <is>
          <t>423616</t>
        </is>
      </c>
      <c r="C220" s="14" t="inlineStr">
        <is>
          <t>TUAIVA JEAN PAUL</t>
        </is>
      </c>
      <c r="D220" s="14" t="inlineStr">
        <is>
          <t>SERV FROGIER 98711 PAEA</t>
        </is>
      </c>
      <c r="E220" s="14" t="inlineStr">
        <is>
          <t>Patenté (Personne Physique)</t>
        </is>
      </c>
      <c r="F220" s="14" t="inlineStr">
        <is>
          <t>Patenté</t>
        </is>
      </c>
      <c r="G220" s="13" t="inlineStr">
        <is>
          <t>4120A</t>
        </is>
      </c>
      <c r="H220" s="13" t="inlineStr">
        <is>
          <t>I</t>
        </is>
      </c>
      <c r="I220" s="14" t="inlineStr">
        <is>
          <t>Industrie</t>
        </is>
      </c>
      <c r="J220" s="15" t="n">
        <v>7</v>
      </c>
      <c r="K220" s="15" t="n">
        <v>2</v>
      </c>
      <c r="L220" s="14" t="inlineStr">
        <is>
          <t>17 2022 A</t>
        </is>
      </c>
      <c r="M220" s="14" t="inlineStr">
        <is>
          <t>M TUAIVA JEAN PAUL</t>
        </is>
      </c>
      <c r="N220" s="14" t="inlineStr">
        <is>
          <t>Chef d entreprise</t>
        </is>
      </c>
      <c r="O220" s="15" t="inlineStr">
        <is>
          <t>6701</t>
        </is>
      </c>
    </row>
    <row r="221" ht="20" customHeight="1">
      <c r="A221" s="16" t="inlineStr">
        <is>
          <t>PAEA-CCISM-0220</t>
        </is>
      </c>
      <c r="B221" s="16" t="inlineStr">
        <is>
          <t>072926</t>
        </is>
      </c>
      <c r="C221" s="17" t="inlineStr">
        <is>
          <t>TUKI PAKOMIO JUAN</t>
        </is>
      </c>
      <c r="D221" s="17" t="inlineStr">
        <is>
          <t>PAEA PK 22.2000 C/MONT - NONO 98711 PAEA</t>
        </is>
      </c>
      <c r="E221" s="17" t="inlineStr">
        <is>
          <t>Patenté (Personne Physique)</t>
        </is>
      </c>
      <c r="F221" s="17" t="inlineStr">
        <is>
          <t>Patenté</t>
        </is>
      </c>
      <c r="G221" s="16" t="inlineStr">
        <is>
          <t>4334Z</t>
        </is>
      </c>
      <c r="H221" s="16" t="inlineStr">
        <is>
          <t>I</t>
        </is>
      </c>
      <c r="I221" s="17" t="inlineStr">
        <is>
          <t>Industrie</t>
        </is>
      </c>
      <c r="J221" s="18" t="n">
        <v>23</v>
      </c>
      <c r="K221" s="18" t="n">
        <v>3</v>
      </c>
      <c r="L221" s="17" t="inlineStr">
        <is>
          <t>9865 A</t>
        </is>
      </c>
      <c r="M221" s="17" t="inlineStr">
        <is>
          <t>M TUKI PAKOMIO JUAN</t>
        </is>
      </c>
      <c r="N221" s="17" t="inlineStr">
        <is>
          <t>Chef d entreprise</t>
        </is>
      </c>
      <c r="O221" s="18" t="inlineStr">
        <is>
          <t>6706</t>
        </is>
      </c>
    </row>
    <row r="222" ht="20" customHeight="1">
      <c r="A222" s="13" t="inlineStr">
        <is>
          <t>PAEA-CCISM-0221</t>
        </is>
      </c>
      <c r="B222" s="13" t="inlineStr">
        <is>
          <t>806901</t>
        </is>
      </c>
      <c r="C222" s="14" t="inlineStr">
        <is>
          <t>VDM</t>
        </is>
      </c>
      <c r="D222" s="14" t="inlineStr">
        <is>
          <t>RTE DE LA VALLEE OROFERO 98711 PAEA</t>
        </is>
      </c>
      <c r="E222" s="14" t="inlineStr">
        <is>
          <t>SARL</t>
        </is>
      </c>
      <c r="F222" s="14" t="inlineStr">
        <is>
          <t>Société</t>
        </is>
      </c>
      <c r="G222" s="13" t="inlineStr">
        <is>
          <t>4391A</t>
        </is>
      </c>
      <c r="H222" s="13" t="inlineStr">
        <is>
          <t>I</t>
        </is>
      </c>
      <c r="I222" s="14" t="inlineStr">
        <is>
          <t>Industrie</t>
        </is>
      </c>
      <c r="J222" s="15" t="n">
        <v>17</v>
      </c>
      <c r="K222" s="15" t="n">
        <v>3</v>
      </c>
      <c r="L222" s="14" t="inlineStr">
        <is>
          <t>07 12 B</t>
        </is>
      </c>
      <c r="M222" s="14" t="inlineStr">
        <is>
          <t>M VAVASSEUR FABIEN</t>
        </is>
      </c>
      <c r="N222" s="14" t="inlineStr">
        <is>
          <t>Gérant</t>
        </is>
      </c>
      <c r="O222" s="15" t="inlineStr">
        <is>
          <t>6722</t>
        </is>
      </c>
    </row>
    <row r="223" ht="20" customHeight="1">
      <c r="A223" s="16" t="inlineStr">
        <is>
          <t>PAEA-CCISM-0222</t>
        </is>
      </c>
      <c r="B223" s="16" t="inlineStr">
        <is>
          <t>578369</t>
        </is>
      </c>
      <c r="C223" s="17" t="inlineStr">
        <is>
          <t>X-TRA-POSE</t>
        </is>
      </c>
      <c r="D223" s="17" t="inlineStr">
        <is>
          <t>PAEA SERV.TOTOE N°5 98711 PAEA</t>
        </is>
      </c>
      <c r="E223" s="17" t="inlineStr">
        <is>
          <t>SARL</t>
        </is>
      </c>
      <c r="F223" s="17" t="inlineStr">
        <is>
          <t>Société</t>
        </is>
      </c>
      <c r="G223" s="16" t="inlineStr">
        <is>
          <t>4339Z</t>
        </is>
      </c>
      <c r="H223" s="16" t="inlineStr">
        <is>
          <t>I</t>
        </is>
      </c>
      <c r="I223" s="17" t="inlineStr">
        <is>
          <t>Industrie</t>
        </is>
      </c>
      <c r="J223" s="18" t="n">
        <v>5</v>
      </c>
      <c r="K223" s="18" t="n">
        <v>1</v>
      </c>
      <c r="L223" s="17" t="inlineStr">
        <is>
          <t>8187 B</t>
        </is>
      </c>
      <c r="M223" s="17" t="inlineStr">
        <is>
          <t>M SORIANO PHILIPPE</t>
        </is>
      </c>
      <c r="N223" s="17" t="inlineStr">
        <is>
          <t>Gérant 6740 28 51 Total voix pour la Catégorie</t>
        </is>
      </c>
      <c r="O223" s="18" t="inlineStr"/>
    </row>
    <row r="224" ht="20" customHeight="1">
      <c r="A224" s="13" t="inlineStr">
        <is>
          <t>PAEA-CCISM-0223</t>
        </is>
      </c>
      <c r="B224" s="13" t="inlineStr">
        <is>
          <t>458778</t>
        </is>
      </c>
      <c r="C224" s="14" t="inlineStr">
        <is>
          <t>ADDESSI LOUIS, VETEA</t>
        </is>
      </c>
      <c r="D224" s="14" t="inlineStr">
        <is>
          <t>98711 PAEA</t>
        </is>
      </c>
      <c r="E224" s="14" t="inlineStr">
        <is>
          <t>Patenté (Personne Physique)</t>
        </is>
      </c>
      <c r="F224" s="14" t="inlineStr">
        <is>
          <t>Patenté</t>
        </is>
      </c>
      <c r="G224" s="13" t="inlineStr">
        <is>
          <t>4520A</t>
        </is>
      </c>
      <c r="H224" s="13" t="inlineStr">
        <is>
          <t>M</t>
        </is>
      </c>
      <c r="I224" s="14" t="inlineStr">
        <is>
          <t>Métiers &amp; Artisanat</t>
        </is>
      </c>
      <c r="J224" s="15" t="n">
        <v>0</v>
      </c>
      <c r="K224" s="15" t="n">
        <v>1</v>
      </c>
      <c r="L224" s="14" t="inlineStr">
        <is>
          <t>25 691 A</t>
        </is>
      </c>
      <c r="M224" s="14" t="inlineStr">
        <is>
          <t>M ADDESSI LOUIS, VETEA</t>
        </is>
      </c>
      <c r="N224" s="14" t="inlineStr">
        <is>
          <t>Chef d entreprise</t>
        </is>
      </c>
      <c r="O224" s="15" t="inlineStr">
        <is>
          <t>6791</t>
        </is>
      </c>
    </row>
    <row r="225" ht="20" customHeight="1">
      <c r="A225" s="16" t="inlineStr">
        <is>
          <t>PAEA-CCISM-0224</t>
        </is>
      </c>
      <c r="B225" s="16" t="inlineStr">
        <is>
          <t>436048</t>
        </is>
      </c>
      <c r="C225" s="17" t="inlineStr">
        <is>
          <t>AGNIE BRICE</t>
        </is>
      </c>
      <c r="D225" s="17" t="inlineStr">
        <is>
          <t>PAEA PK 22 C/MONT - NONO 98711 PAEA</t>
        </is>
      </c>
      <c r="E225" s="17" t="inlineStr">
        <is>
          <t>Patenté (Personne Physique)</t>
        </is>
      </c>
      <c r="F225" s="17" t="inlineStr">
        <is>
          <t>Patenté</t>
        </is>
      </c>
      <c r="G225" s="16" t="inlineStr">
        <is>
          <t>1082Z</t>
        </is>
      </c>
      <c r="H225" s="16" t="inlineStr">
        <is>
          <t>M</t>
        </is>
      </c>
      <c r="I225" s="17" t="inlineStr">
        <is>
          <t>Métiers &amp; Artisanat</t>
        </is>
      </c>
      <c r="J225" s="18" t="n">
        <v>0</v>
      </c>
      <c r="K225" s="18" t="n">
        <v>1</v>
      </c>
      <c r="L225" s="17" t="inlineStr"/>
      <c r="M225" s="17" t="inlineStr">
        <is>
          <t>29779 A</t>
        </is>
      </c>
      <c r="N225" s="17" t="inlineStr"/>
      <c r="O225" s="18" t="inlineStr"/>
    </row>
    <row r="226" ht="20" customHeight="1">
      <c r="A226" s="13" t="inlineStr">
        <is>
          <t>PAEA-CCISM-0225</t>
        </is>
      </c>
      <c r="B226" s="13" t="inlineStr">
        <is>
          <t>D82488</t>
        </is>
      </c>
      <c r="C226" s="14" t="inlineStr">
        <is>
          <t>AHINI SANDY</t>
        </is>
      </c>
      <c r="D226" s="14" t="inlineStr">
        <is>
          <t>PK 23.400 RESIDENCE HEITIARE LOT B6 98711 PAEA</t>
        </is>
      </c>
      <c r="E226" s="14" t="inlineStr">
        <is>
          <t>Patenté (Personne Physique)</t>
        </is>
      </c>
      <c r="F226" s="14" t="inlineStr">
        <is>
          <t>Patenté</t>
        </is>
      </c>
      <c r="G226" s="13" t="inlineStr">
        <is>
          <t>8121Z</t>
        </is>
      </c>
      <c r="H226" s="13" t="inlineStr">
        <is>
          <t>M</t>
        </is>
      </c>
      <c r="I226" s="14" t="inlineStr">
        <is>
          <t>Métiers &amp; Artisanat</t>
        </is>
      </c>
      <c r="J226" s="15" t="n">
        <v>0</v>
      </c>
      <c r="K226" s="15" t="n">
        <v>1</v>
      </c>
      <c r="L226" s="14" t="inlineStr">
        <is>
          <t>20 1551 A</t>
        </is>
      </c>
      <c r="M226" s="14" t="inlineStr">
        <is>
          <t>M AHINI SANDY</t>
        </is>
      </c>
      <c r="N226" s="14" t="inlineStr">
        <is>
          <t>Chef d entreprise</t>
        </is>
      </c>
      <c r="O226" s="15" t="inlineStr">
        <is>
          <t>6854</t>
        </is>
      </c>
    </row>
    <row r="227" ht="20" customHeight="1">
      <c r="A227" s="16" t="inlineStr">
        <is>
          <t>PAEA-CCISM-0226</t>
        </is>
      </c>
      <c r="B227" s="16" t="inlineStr">
        <is>
          <t>982371</t>
        </is>
      </c>
      <c r="C227" s="17" t="inlineStr">
        <is>
          <t>AIAMU TEIMANA</t>
        </is>
      </c>
      <c r="D227" s="17" t="inlineStr">
        <is>
          <t>SERVITUDE MAHATIA 98711 PAEA</t>
        </is>
      </c>
      <c r="E227" s="17" t="inlineStr">
        <is>
          <t>Patenté (Personne Physique)</t>
        </is>
      </c>
      <c r="F227" s="17" t="inlineStr">
        <is>
          <t>Patenté</t>
        </is>
      </c>
      <c r="G227" s="16" t="inlineStr">
        <is>
          <t>4339Z</t>
        </is>
      </c>
      <c r="H227" s="16" t="inlineStr">
        <is>
          <t>M</t>
        </is>
      </c>
      <c r="I227" s="17" t="inlineStr">
        <is>
          <t>Métiers &amp; Artisanat</t>
        </is>
      </c>
      <c r="J227" s="18" t="n">
        <v>0</v>
      </c>
      <c r="K227" s="18" t="n">
        <v>1</v>
      </c>
      <c r="L227" s="17" t="inlineStr">
        <is>
          <t>22 530 A</t>
        </is>
      </c>
      <c r="M227" s="17" t="inlineStr">
        <is>
          <t>M AIAMU TEIMANA</t>
        </is>
      </c>
      <c r="N227" s="17" t="inlineStr">
        <is>
          <t>Chef d entreprise</t>
        </is>
      </c>
      <c r="O227" s="18" t="inlineStr">
        <is>
          <t>6888</t>
        </is>
      </c>
    </row>
    <row r="228" ht="20" customHeight="1">
      <c r="A228" s="13" t="inlineStr">
        <is>
          <t>PAEA-CCISM-0227</t>
        </is>
      </c>
      <c r="B228" s="13" t="inlineStr">
        <is>
          <t>F42842</t>
        </is>
      </c>
      <c r="C228" s="14" t="inlineStr">
        <is>
          <t>AITAMAI KIONA, FRANCIS</t>
        </is>
      </c>
      <c r="D228" s="14" t="inlineStr">
        <is>
          <t>LOT 3 LOT VAITIARE 98711 PAEA</t>
        </is>
      </c>
      <c r="E228" s="14" t="inlineStr">
        <is>
          <t>Patenté (Personne Physique)</t>
        </is>
      </c>
      <c r="F228" s="14" t="inlineStr">
        <is>
          <t>Patenté</t>
        </is>
      </c>
      <c r="G228" s="13" t="inlineStr">
        <is>
          <t>7420Z</t>
        </is>
      </c>
      <c r="H228" s="13" t="inlineStr">
        <is>
          <t>M</t>
        </is>
      </c>
      <c r="I228" s="14" t="inlineStr">
        <is>
          <t>Métiers &amp; Artisanat</t>
        </is>
      </c>
      <c r="J228" s="15" t="n">
        <v>0</v>
      </c>
      <c r="K228" s="15" t="n">
        <v>1</v>
      </c>
      <c r="L228" s="14" t="inlineStr">
        <is>
          <t>23 1875 A</t>
        </is>
      </c>
      <c r="M228" s="14" t="inlineStr">
        <is>
          <t>M AITAMAI KIONA, FRANCIS</t>
        </is>
      </c>
      <c r="N228" s="14" t="inlineStr">
        <is>
          <t>Chef d entreprise</t>
        </is>
      </c>
      <c r="O228" s="15" t="inlineStr">
        <is>
          <t>6898</t>
        </is>
      </c>
    </row>
    <row r="229" ht="20" customHeight="1">
      <c r="A229" s="16" t="inlineStr">
        <is>
          <t>PAEA-CCISM-0228</t>
        </is>
      </c>
      <c r="B229" s="16" t="inlineStr">
        <is>
          <t>F26506</t>
        </is>
      </c>
      <c r="C229" s="17" t="inlineStr">
        <is>
          <t>AITO COMPOSITES</t>
        </is>
      </c>
      <c r="D229" s="17" t="inlineStr">
        <is>
          <t>PK 22.300 COTÉ MER N°392B 98711 PAEA</t>
        </is>
      </c>
      <c r="E229" s="17" t="inlineStr">
        <is>
          <t>SARL Unipersonnelle</t>
        </is>
      </c>
      <c r="F229" s="17" t="inlineStr">
        <is>
          <t>Société</t>
        </is>
      </c>
      <c r="G229" s="16" t="inlineStr">
        <is>
          <t>3012Z</t>
        </is>
      </c>
      <c r="H229" s="16" t="inlineStr">
        <is>
          <t>M</t>
        </is>
      </c>
      <c r="I229" s="17" t="inlineStr">
        <is>
          <t>Métiers &amp; Artisanat</t>
        </is>
      </c>
      <c r="J229" s="18" t="n">
        <v>0</v>
      </c>
      <c r="K229" s="18" t="n">
        <v>1</v>
      </c>
      <c r="L229" s="17" t="inlineStr"/>
      <c r="M229" s="17" t="inlineStr">
        <is>
          <t>23 85 B</t>
        </is>
      </c>
      <c r="N229" s="17" t="inlineStr"/>
      <c r="O229" s="18" t="inlineStr"/>
    </row>
    <row r="230" ht="20" customHeight="1">
      <c r="A230" s="13" t="inlineStr">
        <is>
          <t>PAEA-CCISM-0229</t>
        </is>
      </c>
      <c r="B230" s="13" t="inlineStr">
        <is>
          <t>724930</t>
        </is>
      </c>
      <c r="C230" s="14" t="inlineStr">
        <is>
          <t>ALARME SCORPION</t>
        </is>
      </c>
      <c r="D230" s="14" t="inlineStr">
        <is>
          <t>PAEA LOTIS BOURNE LOT 2 98711 PAEA</t>
        </is>
      </c>
      <c r="E230" s="14" t="inlineStr">
        <is>
          <t>SARL</t>
        </is>
      </c>
      <c r="F230" s="14" t="inlineStr">
        <is>
          <t>Société</t>
        </is>
      </c>
      <c r="G230" s="13" t="inlineStr">
        <is>
          <t>4321A</t>
        </is>
      </c>
      <c r="H230" s="13" t="inlineStr">
        <is>
          <t>M</t>
        </is>
      </c>
      <c r="I230" s="14" t="inlineStr">
        <is>
          <t>Métiers &amp; Artisanat</t>
        </is>
      </c>
      <c r="J230" s="15" t="n">
        <v>2</v>
      </c>
      <c r="K230" s="15" t="n">
        <v>1</v>
      </c>
      <c r="L230" s="14" t="inlineStr">
        <is>
          <t>05 11 B</t>
        </is>
      </c>
      <c r="M230" s="14" t="inlineStr">
        <is>
          <t>M CONDE JEAN-LUC</t>
        </is>
      </c>
      <c r="N230" s="14" t="inlineStr">
        <is>
          <t>Gérant</t>
        </is>
      </c>
      <c r="O230" s="15" t="inlineStr">
        <is>
          <t>6921</t>
        </is>
      </c>
    </row>
    <row r="231" ht="20" customHeight="1">
      <c r="A231" s="16" t="inlineStr">
        <is>
          <t>PAEA-CCISM-0230</t>
        </is>
      </c>
      <c r="B231" s="16" t="inlineStr">
        <is>
          <t>F68813</t>
        </is>
      </c>
      <c r="C231" s="17" t="inlineStr">
        <is>
          <t>ALVAREZ JULIANO</t>
        </is>
      </c>
      <c r="D231" s="17" t="inlineStr">
        <is>
          <t>QUARTIER TEAREA 98711 PAEA</t>
        </is>
      </c>
      <c r="E231" s="17" t="inlineStr">
        <is>
          <t>Patenté (Personne Physique)</t>
        </is>
      </c>
      <c r="F231" s="17" t="inlineStr">
        <is>
          <t>Patenté</t>
        </is>
      </c>
      <c r="G231" s="16" t="inlineStr">
        <is>
          <t>9602A</t>
        </is>
      </c>
      <c r="H231" s="16" t="inlineStr">
        <is>
          <t>M</t>
        </is>
      </c>
      <c r="I231" s="17" t="inlineStr">
        <is>
          <t>Métiers &amp; Artisanat</t>
        </is>
      </c>
      <c r="J231" s="18" t="n">
        <v>0</v>
      </c>
      <c r="K231" s="18" t="n">
        <v>1</v>
      </c>
      <c r="L231" s="17" t="inlineStr">
        <is>
          <t>24 207 A</t>
        </is>
      </c>
      <c r="M231" s="17" t="inlineStr">
        <is>
          <t>M ALVAREZ JULIANO</t>
        </is>
      </c>
      <c r="N231" s="17" t="inlineStr">
        <is>
          <t>Chef d entreprise</t>
        </is>
      </c>
      <c r="O231" s="18" t="inlineStr">
        <is>
          <t>6947</t>
        </is>
      </c>
    </row>
    <row r="232" ht="20" customHeight="1">
      <c r="A232" s="13" t="inlineStr">
        <is>
          <t>PAEA-CCISM-0231</t>
        </is>
      </c>
      <c r="B232" s="13" t="inlineStr">
        <is>
          <t>C46154</t>
        </is>
      </c>
      <c r="C232" s="14" t="inlineStr">
        <is>
          <t>AMAR EMMANUEL HIRIA</t>
        </is>
      </c>
      <c r="D232" s="14" t="inlineStr">
        <is>
          <t>RTE DE LA VALLEE PAPEHUE FARE 1 (AVANT LE BASSIN, A DROITE) 98711 PAEA</t>
        </is>
      </c>
      <c r="E232" s="14" t="inlineStr">
        <is>
          <t>Patenté (Personne Physique)</t>
        </is>
      </c>
      <c r="F232" s="14" t="inlineStr">
        <is>
          <t>Patenté</t>
        </is>
      </c>
      <c r="G232" s="13" t="inlineStr">
        <is>
          <t>4339Z</t>
        </is>
      </c>
      <c r="H232" s="13" t="inlineStr">
        <is>
          <t>M</t>
        </is>
      </c>
      <c r="I232" s="14" t="inlineStr">
        <is>
          <t>Métiers &amp; Artisanat</t>
        </is>
      </c>
      <c r="J232" s="15" t="n">
        <v>0</v>
      </c>
      <c r="K232" s="15" t="n">
        <v>1</v>
      </c>
      <c r="L232" s="14" t="inlineStr">
        <is>
          <t>17 1816 A</t>
        </is>
      </c>
      <c r="M232" s="14" t="inlineStr">
        <is>
          <t>M AMAR EMMANUEL HIRIA</t>
        </is>
      </c>
      <c r="N232" s="14" t="inlineStr">
        <is>
          <t>Chef d entreprise</t>
        </is>
      </c>
      <c r="O232" s="15" t="inlineStr">
        <is>
          <t>6957</t>
        </is>
      </c>
    </row>
    <row r="233" ht="20" customHeight="1">
      <c r="A233" s="16" t="inlineStr">
        <is>
          <t>PAEA-CCISM-0232</t>
        </is>
      </c>
      <c r="B233" s="16" t="inlineStr">
        <is>
          <t>B48509</t>
        </is>
      </c>
      <c r="C233" s="17" t="inlineStr">
        <is>
          <t>AMARU TEVA TEUA DENIS</t>
        </is>
      </c>
      <c r="D233" s="17" t="inlineStr">
        <is>
          <t>LOT CHAPMAN 98711 PAEA</t>
        </is>
      </c>
      <c r="E233" s="17" t="inlineStr">
        <is>
          <t>Patenté (Personne Physique)</t>
        </is>
      </c>
      <c r="F233" s="17" t="inlineStr">
        <is>
          <t>Patenté</t>
        </is>
      </c>
      <c r="G233" s="16" t="inlineStr">
        <is>
          <t>4339Z</t>
        </is>
      </c>
      <c r="H233" s="16" t="inlineStr">
        <is>
          <t>M</t>
        </is>
      </c>
      <c r="I233" s="17" t="inlineStr">
        <is>
          <t>Métiers &amp; Artisanat</t>
        </is>
      </c>
      <c r="J233" s="18" t="n">
        <v>0</v>
      </c>
      <c r="K233" s="18" t="n">
        <v>1</v>
      </c>
      <c r="L233" s="17" t="inlineStr">
        <is>
          <t>15 1044 A</t>
        </is>
      </c>
      <c r="M233" s="17" t="inlineStr">
        <is>
          <t>M AMARU TEVA TEUA DENIS</t>
        </is>
      </c>
      <c r="N233" s="17" t="inlineStr">
        <is>
          <t>Chef d entreprise</t>
        </is>
      </c>
      <c r="O233" s="18" t="inlineStr">
        <is>
          <t>6989</t>
        </is>
      </c>
    </row>
    <row r="234" ht="20" customHeight="1">
      <c r="A234" s="13" t="inlineStr">
        <is>
          <t>PAEA-CCISM-0233</t>
        </is>
      </c>
      <c r="B234" s="13" t="inlineStr">
        <is>
          <t>C77357</t>
        </is>
      </c>
      <c r="C234" s="14" t="inlineStr">
        <is>
          <t>AMARU VANINA HINATEA</t>
        </is>
      </c>
      <c r="D234" s="14" t="inlineStr">
        <is>
          <t>SERV HAUMAUURU QUARTIER VAIOHI 98711 PAEA</t>
        </is>
      </c>
      <c r="E234" s="14" t="inlineStr">
        <is>
          <t>Patenté (Personne Physique)</t>
        </is>
      </c>
      <c r="F234" s="14" t="inlineStr">
        <is>
          <t>Patenté</t>
        </is>
      </c>
      <c r="G234" s="13" t="inlineStr">
        <is>
          <t>4520A</t>
        </is>
      </c>
      <c r="H234" s="13" t="inlineStr">
        <is>
          <t>M</t>
        </is>
      </c>
      <c r="I234" s="14" t="inlineStr">
        <is>
          <t>Métiers &amp; Artisanat</t>
        </is>
      </c>
      <c r="J234" s="15" t="n">
        <v>0</v>
      </c>
      <c r="K234" s="15" t="n">
        <v>1</v>
      </c>
      <c r="L234" s="14" t="inlineStr">
        <is>
          <t>18 888 A</t>
        </is>
      </c>
      <c r="M234" s="14" t="inlineStr">
        <is>
          <t>Mme AMARU VANINA HINATEA</t>
        </is>
      </c>
      <c r="N234" s="14" t="inlineStr">
        <is>
          <t>Chef d entreprise</t>
        </is>
      </c>
      <c r="O234" s="15" t="inlineStr">
        <is>
          <t>6992</t>
        </is>
      </c>
    </row>
    <row r="235" ht="20" customHeight="1">
      <c r="A235" s="16" t="inlineStr">
        <is>
          <t>PAEA-CCISM-0234</t>
        </is>
      </c>
      <c r="B235" s="16" t="inlineStr">
        <is>
          <t>634543</t>
        </is>
      </c>
      <c r="C235" s="17" t="inlineStr">
        <is>
          <t>AMO ANDRE</t>
        </is>
      </c>
      <c r="D235" s="17" t="inlineStr">
        <is>
          <t>QTIER TAURAA 98711 PAEA</t>
        </is>
      </c>
      <c r="E235" s="17" t="inlineStr">
        <is>
          <t>Patenté (Personne Physique)</t>
        </is>
      </c>
      <c r="F235" s="17" t="inlineStr">
        <is>
          <t>Patenté</t>
        </is>
      </c>
      <c r="G235" s="16" t="inlineStr">
        <is>
          <t>4321A</t>
        </is>
      </c>
      <c r="H235" s="16" t="inlineStr">
        <is>
          <t>M</t>
        </is>
      </c>
      <c r="I235" s="17" t="inlineStr">
        <is>
          <t>Métiers &amp; Artisanat</t>
        </is>
      </c>
      <c r="J235" s="18" t="n">
        <v>0</v>
      </c>
      <c r="K235" s="18" t="n">
        <v>1</v>
      </c>
      <c r="L235" s="17" t="inlineStr">
        <is>
          <t>14 699 A</t>
        </is>
      </c>
      <c r="M235" s="17" t="inlineStr">
        <is>
          <t>M AMO ANDRE</t>
        </is>
      </c>
      <c r="N235" s="17" t="inlineStr">
        <is>
          <t>Chef d entreprise</t>
        </is>
      </c>
      <c r="O235" s="18" t="inlineStr">
        <is>
          <t>6999</t>
        </is>
      </c>
    </row>
    <row r="236" ht="20" customHeight="1">
      <c r="A236" s="13" t="inlineStr">
        <is>
          <t>PAEA-CCISM-0235</t>
        </is>
      </c>
      <c r="B236" s="13" t="inlineStr">
        <is>
          <t>A79480</t>
        </is>
      </c>
      <c r="C236" s="14" t="inlineStr">
        <is>
          <t>ANAHOA LOUIS STEVE AVEI</t>
        </is>
      </c>
      <c r="D236" s="14" t="inlineStr">
        <is>
          <t>VALLEE DE OROFERO 98711 PAEA</t>
        </is>
      </c>
      <c r="E236" s="14" t="inlineStr">
        <is>
          <t>Patenté (Personne Physique)</t>
        </is>
      </c>
      <c r="F236" s="14" t="inlineStr">
        <is>
          <t>Patenté</t>
        </is>
      </c>
      <c r="G236" s="13" t="inlineStr">
        <is>
          <t>1071D</t>
        </is>
      </c>
      <c r="H236" s="13" t="inlineStr">
        <is>
          <t>M</t>
        </is>
      </c>
      <c r="I236" s="14" t="inlineStr">
        <is>
          <t>Métiers &amp; Artisanat</t>
        </is>
      </c>
      <c r="J236" s="15" t="n">
        <v>0</v>
      </c>
      <c r="K236" s="15" t="n">
        <v>1</v>
      </c>
      <c r="L236" s="14" t="inlineStr">
        <is>
          <t>13 1594 A</t>
        </is>
      </c>
      <c r="M236" s="14" t="inlineStr">
        <is>
          <t>M ANAHOA LOUIS STEVE AVEI</t>
        </is>
      </c>
      <c r="N236" s="14" t="inlineStr">
        <is>
          <t>Chef d entreprise</t>
        </is>
      </c>
      <c r="O236" s="15" t="inlineStr">
        <is>
          <t>7008</t>
        </is>
      </c>
    </row>
    <row r="237" ht="20" customHeight="1">
      <c r="A237" s="16" t="inlineStr">
        <is>
          <t>PAEA-CCISM-0236</t>
        </is>
      </c>
      <c r="B237" s="16" t="inlineStr">
        <is>
          <t>F87854</t>
        </is>
      </c>
      <c r="C237" s="17" t="inlineStr">
        <is>
          <t>ANGELINA'S CROCHET TAHITI</t>
        </is>
      </c>
      <c r="D237" s="17" t="inlineStr">
        <is>
          <t>TERRE TEPUTAITA PARCELLE AE 26 98711 PAEA</t>
        </is>
      </c>
      <c r="E237" s="17" t="inlineStr">
        <is>
          <t>SARL Unipersonnelle</t>
        </is>
      </c>
      <c r="F237" s="17" t="inlineStr">
        <is>
          <t>Société</t>
        </is>
      </c>
      <c r="G237" s="16" t="inlineStr">
        <is>
          <t>1439Z</t>
        </is>
      </c>
      <c r="H237" s="16" t="inlineStr">
        <is>
          <t>M</t>
        </is>
      </c>
      <c r="I237" s="17" t="inlineStr">
        <is>
          <t>Métiers &amp; Artisanat</t>
        </is>
      </c>
      <c r="J237" s="18" t="n">
        <v>2</v>
      </c>
      <c r="K237" s="18" t="n">
        <v>1</v>
      </c>
      <c r="L237" s="17" t="inlineStr">
        <is>
          <t>24 258 B</t>
        </is>
      </c>
      <c r="M237" s="17" t="inlineStr">
        <is>
          <t>Mme TERAIEFA ANGELINA</t>
        </is>
      </c>
      <c r="N237" s="17" t="inlineStr">
        <is>
          <t>Gérant</t>
        </is>
      </c>
      <c r="O237" s="18" t="inlineStr">
        <is>
          <t>7021</t>
        </is>
      </c>
    </row>
    <row r="238" ht="20" customHeight="1">
      <c r="A238" s="13" t="inlineStr">
        <is>
          <t>PAEA-CCISM-0237</t>
        </is>
      </c>
      <c r="B238" s="13" t="inlineStr">
        <is>
          <t>552042</t>
        </is>
      </c>
      <c r="C238" s="14" t="inlineStr">
        <is>
          <t>ANIAMIOI ETIENNE MAHIPA ETIENNE MAHIPA</t>
        </is>
      </c>
      <c r="D238" s="14" t="inlineStr">
        <is>
          <t>98711 PAEA</t>
        </is>
      </c>
      <c r="E238" s="14" t="inlineStr">
        <is>
          <t>Patenté (Personne Physique)</t>
        </is>
      </c>
      <c r="F238" s="14" t="inlineStr">
        <is>
          <t>Patenté</t>
        </is>
      </c>
      <c r="G238" s="13" t="inlineStr">
        <is>
          <t>4120A</t>
        </is>
      </c>
      <c r="H238" s="13" t="inlineStr">
        <is>
          <t>M</t>
        </is>
      </c>
      <c r="I238" s="14" t="inlineStr">
        <is>
          <t>Métiers &amp; Artisanat</t>
        </is>
      </c>
      <c r="J238" s="15" t="n">
        <v>0</v>
      </c>
      <c r="K238" s="15" t="n">
        <v>1</v>
      </c>
      <c r="L238" s="14" t="inlineStr">
        <is>
          <t>21 596 A</t>
        </is>
      </c>
      <c r="M238" s="14" t="inlineStr">
        <is>
          <t>M ANIAMIOI ETIENNE MAHIPA</t>
        </is>
      </c>
      <c r="N238" s="14" t="inlineStr">
        <is>
          <t>Chef d entreprise</t>
        </is>
      </c>
      <c r="O238" s="15" t="inlineStr">
        <is>
          <t>7028</t>
        </is>
      </c>
    </row>
    <row r="239" ht="20" customHeight="1">
      <c r="A239" s="16" t="inlineStr">
        <is>
          <t>PAEA-CCISM-0238</t>
        </is>
      </c>
      <c r="B239" s="16" t="inlineStr">
        <is>
          <t>979930</t>
        </is>
      </c>
      <c r="C239" s="17" t="inlineStr">
        <is>
          <t>ANIHIA EMILE</t>
        </is>
      </c>
      <c r="D239" s="17" t="inlineStr">
        <is>
          <t>17 RTE LOTISSEMENT TEHAUPARU 98711 PAEA</t>
        </is>
      </c>
      <c r="E239" s="17" t="inlineStr">
        <is>
          <t>Patenté (Personne Physique)</t>
        </is>
      </c>
      <c r="F239" s="17" t="inlineStr">
        <is>
          <t>Patenté</t>
        </is>
      </c>
      <c r="G239" s="16" t="inlineStr">
        <is>
          <t>3312Z</t>
        </is>
      </c>
      <c r="H239" s="16" t="inlineStr">
        <is>
          <t>M</t>
        </is>
      </c>
      <c r="I239" s="17" t="inlineStr">
        <is>
          <t>Métiers &amp; Artisanat</t>
        </is>
      </c>
      <c r="J239" s="18" t="n">
        <v>0</v>
      </c>
      <c r="K239" s="18" t="n">
        <v>1</v>
      </c>
      <c r="L239" s="17" t="inlineStr">
        <is>
          <t>16 2324 A</t>
        </is>
      </c>
      <c r="M239" s="17" t="inlineStr">
        <is>
          <t>M ANIHIA EMILE</t>
        </is>
      </c>
      <c r="N239" s="17" t="inlineStr">
        <is>
          <t>Chef d entreprise</t>
        </is>
      </c>
      <c r="O239" s="18" t="inlineStr">
        <is>
          <t>7032</t>
        </is>
      </c>
    </row>
    <row r="240" ht="20" customHeight="1">
      <c r="A240" s="13" t="inlineStr">
        <is>
          <t>PAEA-CCISM-0239</t>
        </is>
      </c>
      <c r="B240" s="13" t="inlineStr">
        <is>
          <t>B33105</t>
        </is>
      </c>
      <c r="C240" s="14" t="inlineStr">
        <is>
          <t>APERAHAMA-TAAROA TILLY PHILIPPE VAITU</t>
        </is>
      </c>
      <c r="D240" s="14" t="inlineStr">
        <is>
          <t>LOT C - PROPRIETE ROBSON 98711 PAEA</t>
        </is>
      </c>
      <c r="E240" s="14" t="inlineStr">
        <is>
          <t>Patenté (Personne Physique)</t>
        </is>
      </c>
      <c r="F240" s="14" t="inlineStr">
        <is>
          <t>Patenté</t>
        </is>
      </c>
      <c r="G240" s="13" t="inlineStr">
        <is>
          <t>4520A</t>
        </is>
      </c>
      <c r="H240" s="13" t="inlineStr">
        <is>
          <t>M</t>
        </is>
      </c>
      <c r="I240" s="14" t="inlineStr">
        <is>
          <t>Métiers &amp; Artisanat</t>
        </is>
      </c>
      <c r="J240" s="15" t="n">
        <v>0</v>
      </c>
      <c r="K240" s="15" t="n">
        <v>1</v>
      </c>
      <c r="L240" s="14" t="inlineStr">
        <is>
          <t>20 1004 A</t>
        </is>
      </c>
      <c r="M240" s="14" t="inlineStr">
        <is>
          <t>M APERAHAMA-TAAROA TILLY PHILIPPE VAITU</t>
        </is>
      </c>
      <c r="N240" s="14" t="inlineStr">
        <is>
          <t>Chef d entreprise</t>
        </is>
      </c>
      <c r="O240" s="15" t="inlineStr">
        <is>
          <t>7068</t>
        </is>
      </c>
    </row>
    <row r="241" ht="20" customHeight="1">
      <c r="A241" s="16" t="inlineStr">
        <is>
          <t>PAEA-CCISM-0240</t>
        </is>
      </c>
      <c r="B241" s="16" t="inlineStr">
        <is>
          <t>332593</t>
        </is>
      </c>
      <c r="C241" s="17" t="inlineStr">
        <is>
          <t>APO JEAN CLAUDE TAUMATAIRO JEAN-CLAUDE</t>
        </is>
      </c>
      <c r="D241" s="17" t="inlineStr">
        <is>
          <t>RTE LOTISSEMENT TEHAUPARU LOT 4 VOIE N°2 98711 PAEA</t>
        </is>
      </c>
      <c r="E241" s="17" t="inlineStr">
        <is>
          <t>Patenté (Personne Physique)</t>
        </is>
      </c>
      <c r="F241" s="17" t="inlineStr">
        <is>
          <t>Patenté</t>
        </is>
      </c>
      <c r="G241" s="16" t="inlineStr">
        <is>
          <t>4339Z</t>
        </is>
      </c>
      <c r="H241" s="16" t="inlineStr">
        <is>
          <t>M</t>
        </is>
      </c>
      <c r="I241" s="17" t="inlineStr">
        <is>
          <t>Métiers &amp; Artisanat</t>
        </is>
      </c>
      <c r="J241" s="18" t="n">
        <v>0</v>
      </c>
      <c r="K241" s="18" t="n">
        <v>1</v>
      </c>
      <c r="L241" s="17" t="inlineStr"/>
      <c r="M241" s="17" t="inlineStr">
        <is>
          <t>18 138 A</t>
        </is>
      </c>
      <c r="N241" s="17" t="inlineStr"/>
      <c r="O241" s="18" t="inlineStr"/>
    </row>
    <row r="242" ht="20" customHeight="1">
      <c r="A242" s="13" t="inlineStr">
        <is>
          <t>PAEA-CCISM-0241</t>
        </is>
      </c>
      <c r="B242" s="13" t="inlineStr">
        <is>
          <t>D16841</t>
        </is>
      </c>
      <c r="C242" s="14" t="inlineStr">
        <is>
          <t>APUARII ADELINE</t>
        </is>
      </c>
      <c r="D242" s="14" t="inlineStr">
        <is>
          <t>SERVITUDE VAIARII 98711 PAEA</t>
        </is>
      </c>
      <c r="E242" s="14" t="inlineStr">
        <is>
          <t>Patenté (Personne Physique)</t>
        </is>
      </c>
      <c r="F242" s="14" t="inlineStr">
        <is>
          <t>Patenté</t>
        </is>
      </c>
      <c r="G242" s="13" t="inlineStr">
        <is>
          <t>8130Z</t>
        </is>
      </c>
      <c r="H242" s="13" t="inlineStr">
        <is>
          <t>M</t>
        </is>
      </c>
      <c r="I242" s="14" t="inlineStr">
        <is>
          <t>Métiers &amp; Artisanat</t>
        </is>
      </c>
      <c r="J242" s="15" t="n">
        <v>0</v>
      </c>
      <c r="K242" s="15" t="n">
        <v>1</v>
      </c>
      <c r="L242" s="14" t="inlineStr">
        <is>
          <t>19 569 A</t>
        </is>
      </c>
      <c r="M242" s="14" t="inlineStr">
        <is>
          <t>Mme APUARII ADELINE</t>
        </is>
      </c>
      <c r="N242" s="14" t="inlineStr">
        <is>
          <t>Chef d entreprise</t>
        </is>
      </c>
      <c r="O242" s="15" t="inlineStr">
        <is>
          <t>7074</t>
        </is>
      </c>
    </row>
    <row r="243" ht="20" customHeight="1">
      <c r="A243" s="16" t="inlineStr">
        <is>
          <t>PAEA-CCISM-0242</t>
        </is>
      </c>
      <c r="B243" s="16" t="inlineStr">
        <is>
          <t>A69697</t>
        </is>
      </c>
      <c r="C243" s="17" t="inlineStr">
        <is>
          <t>APUARII ANGELA</t>
        </is>
      </c>
      <c r="D243" s="17" t="inlineStr">
        <is>
          <t>SERV APUARII VAIARII 98711 PAEA</t>
        </is>
      </c>
      <c r="E243" s="17" t="inlineStr">
        <is>
          <t>Patenté (Personne Physique)</t>
        </is>
      </c>
      <c r="F243" s="17" t="inlineStr">
        <is>
          <t>Patenté</t>
        </is>
      </c>
      <c r="G243" s="16" t="inlineStr">
        <is>
          <t>8121Z</t>
        </is>
      </c>
      <c r="H243" s="16" t="inlineStr">
        <is>
          <t>M</t>
        </is>
      </c>
      <c r="I243" s="17" t="inlineStr">
        <is>
          <t>Métiers &amp; Artisanat</t>
        </is>
      </c>
      <c r="J243" s="18" t="n">
        <v>0</v>
      </c>
      <c r="K243" s="18" t="n">
        <v>1</v>
      </c>
      <c r="L243" s="17" t="inlineStr">
        <is>
          <t>14 2066 A</t>
        </is>
      </c>
      <c r="M243" s="17" t="inlineStr">
        <is>
          <t>Mme APUARII ANGELA</t>
        </is>
      </c>
      <c r="N243" s="17" t="inlineStr">
        <is>
          <t>Chef d entreprise</t>
        </is>
      </c>
      <c r="O243" s="18" t="inlineStr">
        <is>
          <t>7076</t>
        </is>
      </c>
    </row>
    <row r="244" ht="20" customHeight="1">
      <c r="A244" s="13" t="inlineStr">
        <is>
          <t>PAEA-CCISM-0243</t>
        </is>
      </c>
      <c r="B244" s="13" t="inlineStr">
        <is>
          <t>F55943</t>
        </is>
      </c>
      <c r="C244" s="14" t="inlineStr">
        <is>
          <t>APUARII MOERANI</t>
        </is>
      </c>
      <c r="D244" s="14" t="inlineStr">
        <is>
          <t>DER LE TEMP 98711 PAEA</t>
        </is>
      </c>
      <c r="E244" s="14" t="inlineStr">
        <is>
          <t>Patenté (Personne Physique)</t>
        </is>
      </c>
      <c r="F244" s="14" t="inlineStr">
        <is>
          <t>Patenté</t>
        </is>
      </c>
      <c r="G244" s="13" t="inlineStr">
        <is>
          <t>9602B</t>
        </is>
      </c>
      <c r="H244" s="13" t="inlineStr">
        <is>
          <t>M</t>
        </is>
      </c>
      <c r="I244" s="14" t="inlineStr">
        <is>
          <t>Métiers &amp; Artisanat</t>
        </is>
      </c>
      <c r="J244" s="15" t="n">
        <v>0</v>
      </c>
      <c r="K244" s="15" t="n">
        <v>1</v>
      </c>
      <c r="L244" s="14" t="inlineStr">
        <is>
          <t>23 2670 A</t>
        </is>
      </c>
      <c r="M244" s="14" t="inlineStr">
        <is>
          <t>Mme APUARII MOERANI</t>
        </is>
      </c>
      <c r="N244" s="14" t="inlineStr">
        <is>
          <t>Chef d entreprise</t>
        </is>
      </c>
      <c r="O244" s="15" t="inlineStr">
        <is>
          <t>7078</t>
        </is>
      </c>
    </row>
    <row r="245" ht="20" customHeight="1">
      <c r="A245" s="16" t="inlineStr">
        <is>
          <t>PAEA-CCISM-0244</t>
        </is>
      </c>
      <c r="B245" s="16" t="inlineStr">
        <is>
          <t>E90249</t>
        </is>
      </c>
      <c r="C245" s="17" t="inlineStr">
        <is>
          <t>ARAI HERALD HEIFARA</t>
        </is>
      </c>
      <c r="D245" s="17" t="inlineStr">
        <is>
          <t>98711 PAEA</t>
        </is>
      </c>
      <c r="E245" s="17" t="inlineStr">
        <is>
          <t>Patenté (Personne Physique)</t>
        </is>
      </c>
      <c r="F245" s="17" t="inlineStr">
        <is>
          <t>Patenté</t>
        </is>
      </c>
      <c r="G245" s="16" t="inlineStr">
        <is>
          <t>4520A</t>
        </is>
      </c>
      <c r="H245" s="16" t="inlineStr">
        <is>
          <t>M</t>
        </is>
      </c>
      <c r="I245" s="17" t="inlineStr">
        <is>
          <t>Métiers &amp; Artisanat</t>
        </is>
      </c>
      <c r="J245" s="18" t="n">
        <v>0</v>
      </c>
      <c r="K245" s="18" t="n">
        <v>1</v>
      </c>
      <c r="L245" s="17" t="inlineStr">
        <is>
          <t>22 2124 A</t>
        </is>
      </c>
      <c r="M245" s="17" t="inlineStr">
        <is>
          <t>M ARAI HERALD HEIFARA</t>
        </is>
      </c>
      <c r="N245" s="17" t="inlineStr">
        <is>
          <t>Chef d entreprise</t>
        </is>
      </c>
      <c r="O245" s="18" t="inlineStr">
        <is>
          <t>7088</t>
        </is>
      </c>
    </row>
    <row r="246" ht="20" customHeight="1">
      <c r="A246" s="13" t="inlineStr">
        <is>
          <t>PAEA-CCISM-0245</t>
        </is>
      </c>
      <c r="B246" s="13" t="inlineStr">
        <is>
          <t>855304</t>
        </is>
      </c>
      <c r="C246" s="14" t="inlineStr">
        <is>
          <t>ARAIATETIIRAU THÉOPHILE TIIRAU</t>
        </is>
      </c>
      <c r="D246" s="14" t="inlineStr">
        <is>
          <t>PAEA PK 20.500 C/MONT 98711 PAEA</t>
        </is>
      </c>
      <c r="E246" s="14" t="inlineStr">
        <is>
          <t>Patenté (Personne Physique)</t>
        </is>
      </c>
      <c r="F246" s="14" t="inlineStr">
        <is>
          <t>Patenté</t>
        </is>
      </c>
      <c r="G246" s="13" t="inlineStr">
        <is>
          <t>4339Z</t>
        </is>
      </c>
      <c r="H246" s="13" t="inlineStr">
        <is>
          <t>M</t>
        </is>
      </c>
      <c r="I246" s="14" t="inlineStr">
        <is>
          <t>Métiers &amp; Artisanat</t>
        </is>
      </c>
      <c r="J246" s="15" t="n">
        <v>0</v>
      </c>
      <c r="K246" s="15" t="n">
        <v>1</v>
      </c>
      <c r="L246" s="14" t="inlineStr">
        <is>
          <t>08 362 A</t>
        </is>
      </c>
      <c r="M246" s="14" t="inlineStr">
        <is>
          <t>M ARAIATETIIRAU THÉOPHILE TIIRAU</t>
        </is>
      </c>
      <c r="N246" s="14" t="inlineStr">
        <is>
          <t>Chef d entreprise</t>
        </is>
      </c>
      <c r="O246" s="15" t="inlineStr">
        <is>
          <t>7100</t>
        </is>
      </c>
    </row>
    <row r="247" ht="20" customHeight="1">
      <c r="A247" s="16" t="inlineStr">
        <is>
          <t>PAEA-CCISM-0246</t>
        </is>
      </c>
      <c r="B247" s="16" t="inlineStr">
        <is>
          <t>C97116</t>
        </is>
      </c>
      <c r="C247" s="17" t="inlineStr">
        <is>
          <t>AREA NEE YIN SUN SIOU, TSAN</t>
        </is>
      </c>
      <c r="D247" s="17" t="inlineStr">
        <is>
          <t>98711 PAEA</t>
        </is>
      </c>
      <c r="E247" s="17" t="inlineStr">
        <is>
          <t>Patenté (Personne Physique)</t>
        </is>
      </c>
      <c r="F247" s="17" t="inlineStr">
        <is>
          <t>Patenté</t>
        </is>
      </c>
      <c r="G247" s="16" t="inlineStr">
        <is>
          <t>3299Z</t>
        </is>
      </c>
      <c r="H247" s="16" t="inlineStr">
        <is>
          <t>M</t>
        </is>
      </c>
      <c r="I247" s="17" t="inlineStr">
        <is>
          <t>Métiers &amp; Artisanat</t>
        </is>
      </c>
      <c r="J247" s="18" t="n">
        <v>0</v>
      </c>
      <c r="K247" s="18" t="n">
        <v>1</v>
      </c>
      <c r="L247" s="17" t="inlineStr">
        <is>
          <t>18 2225 A</t>
        </is>
      </c>
      <c r="M247" s="17" t="inlineStr">
        <is>
          <t>Mme AREA (Née YIN SUN) SIOU, TSAN</t>
        </is>
      </c>
      <c r="N247" s="17" t="inlineStr">
        <is>
          <t>Chef d entreprise</t>
        </is>
      </c>
      <c r="O247" s="18" t="inlineStr">
        <is>
          <t>7110</t>
        </is>
      </c>
    </row>
    <row r="248" ht="20" customHeight="1">
      <c r="A248" s="13" t="inlineStr">
        <is>
          <t>PAEA-CCISM-0247</t>
        </is>
      </c>
      <c r="B248" s="13" t="inlineStr">
        <is>
          <t>851428</t>
        </is>
      </c>
      <c r="C248" s="14" t="inlineStr">
        <is>
          <t>ARIIPEU FRANÇOIS, XAVIER</t>
        </is>
      </c>
      <c r="D248" s="14" t="inlineStr">
        <is>
          <t>PAEA PK 21.500 C/MONT - DERRIERE LE ST 98711 PAEA</t>
        </is>
      </c>
      <c r="E248" s="14" t="inlineStr">
        <is>
          <t>Patenté (Personne Physique)</t>
        </is>
      </c>
      <c r="F248" s="14" t="inlineStr">
        <is>
          <t>Patenté</t>
        </is>
      </c>
      <c r="G248" s="13" t="inlineStr">
        <is>
          <t>5914Z</t>
        </is>
      </c>
      <c r="H248" s="13" t="inlineStr">
        <is>
          <t>M</t>
        </is>
      </c>
      <c r="I248" s="14" t="inlineStr">
        <is>
          <t>Métiers &amp; Artisanat</t>
        </is>
      </c>
      <c r="J248" s="15" t="n">
        <v>0</v>
      </c>
      <c r="K248" s="15" t="n">
        <v>1</v>
      </c>
      <c r="L248" s="14" t="inlineStr">
        <is>
          <t>08 159 A</t>
        </is>
      </c>
      <c r="M248" s="14" t="inlineStr">
        <is>
          <t>M ARIIPEU FRANÇOIS, XAVIER</t>
        </is>
      </c>
      <c r="N248" s="14" t="inlineStr">
        <is>
          <t>Chef d entreprise</t>
        </is>
      </c>
      <c r="O248" s="15" t="inlineStr">
        <is>
          <t>7119</t>
        </is>
      </c>
    </row>
    <row r="249" ht="20" customHeight="1">
      <c r="A249" s="16" t="inlineStr">
        <is>
          <t>PAEA-CCISM-0248</t>
        </is>
      </c>
      <c r="B249" s="16" t="inlineStr">
        <is>
          <t>E19818</t>
        </is>
      </c>
      <c r="C249" s="17" t="inlineStr">
        <is>
          <t>ARIIVEHEATAITERAIPOIRI WENDY HEIURA</t>
        </is>
      </c>
      <c r="D249" s="17" t="inlineStr">
        <is>
          <t>98711 PAEA</t>
        </is>
      </c>
      <c r="E249" s="17" t="inlineStr">
        <is>
          <t>Patenté (Personne Physique)</t>
        </is>
      </c>
      <c r="F249" s="17" t="inlineStr">
        <is>
          <t>Patenté</t>
        </is>
      </c>
      <c r="G249" s="16" t="inlineStr">
        <is>
          <t>9602B</t>
        </is>
      </c>
      <c r="H249" s="16" t="inlineStr">
        <is>
          <t>M</t>
        </is>
      </c>
      <c r="I249" s="17" t="inlineStr">
        <is>
          <t>Métiers &amp; Artisanat</t>
        </is>
      </c>
      <c r="J249" s="18" t="n">
        <v>0</v>
      </c>
      <c r="K249" s="18" t="n">
        <v>1</v>
      </c>
      <c r="L249" s="17" t="inlineStr">
        <is>
          <t>23 2164 A</t>
        </is>
      </c>
      <c r="M249" s="17" t="inlineStr">
        <is>
          <t>Mme ARIIVEHEATAITERAIPOIRI WENDY HEIURA</t>
        </is>
      </c>
      <c r="N249" s="17" t="inlineStr">
        <is>
          <t>Chef d entreprise</t>
        </is>
      </c>
      <c r="O249" s="18" t="inlineStr">
        <is>
          <t>7141</t>
        </is>
      </c>
    </row>
    <row r="250" ht="20" customHeight="1">
      <c r="A250" s="13" t="inlineStr">
        <is>
          <t>PAEA-CCISM-0249</t>
        </is>
      </c>
      <c r="B250" s="13" t="inlineStr">
        <is>
          <t>F08314</t>
        </is>
      </c>
      <c r="C250" s="14" t="inlineStr">
        <is>
          <t>ARUTAHI MAURI</t>
        </is>
      </c>
      <c r="D250" s="14" t="inlineStr">
        <is>
          <t>VALLEE OROFERO 98711 PAEA</t>
        </is>
      </c>
      <c r="E250" s="14" t="inlineStr">
        <is>
          <t>Patenté (Personne Physique)</t>
        </is>
      </c>
      <c r="F250" s="14" t="inlineStr">
        <is>
          <t>Patenté</t>
        </is>
      </c>
      <c r="G250" s="13" t="inlineStr">
        <is>
          <t>8130Z</t>
        </is>
      </c>
      <c r="H250" s="13" t="inlineStr">
        <is>
          <t>M</t>
        </is>
      </c>
      <c r="I250" s="14" t="inlineStr">
        <is>
          <t>Métiers &amp; Artisanat</t>
        </is>
      </c>
      <c r="J250" s="15" t="n">
        <v>0</v>
      </c>
      <c r="K250" s="15" t="n">
        <v>1</v>
      </c>
      <c r="L250" s="14" t="inlineStr">
        <is>
          <t>22 3359 A</t>
        </is>
      </c>
      <c r="M250" s="14" t="inlineStr">
        <is>
          <t>M ARUTAHI MAURI</t>
        </is>
      </c>
      <c r="N250" s="14" t="inlineStr">
        <is>
          <t>Chef d entreprise</t>
        </is>
      </c>
      <c r="O250" s="15" t="inlineStr">
        <is>
          <t>7158</t>
        </is>
      </c>
    </row>
    <row r="251" ht="20" customHeight="1">
      <c r="A251" s="16" t="inlineStr">
        <is>
          <t>PAEA-CCISM-0250</t>
        </is>
      </c>
      <c r="B251" s="16" t="inlineStr">
        <is>
          <t>106286</t>
        </is>
      </c>
      <c r="C251" s="17" t="inlineStr">
        <is>
          <t>ARUTAHI RENE</t>
        </is>
      </c>
      <c r="D251" s="17" t="inlineStr">
        <is>
          <t>PAEA PK 24.800 C/MONT - AGREGATS 98711 PAEA</t>
        </is>
      </c>
      <c r="E251" s="17" t="inlineStr">
        <is>
          <t>Patenté (Personne Physique)</t>
        </is>
      </c>
      <c r="F251" s="17" t="inlineStr">
        <is>
          <t>Patenté</t>
        </is>
      </c>
      <c r="G251" s="16" t="inlineStr">
        <is>
          <t>4312A</t>
        </is>
      </c>
      <c r="H251" s="16" t="inlineStr">
        <is>
          <t>M</t>
        </is>
      </c>
      <c r="I251" s="17" t="inlineStr">
        <is>
          <t>Métiers &amp; Artisanat</t>
        </is>
      </c>
      <c r="J251" s="18" t="n">
        <v>0</v>
      </c>
      <c r="K251" s="18" t="n">
        <v>1</v>
      </c>
      <c r="L251" s="17" t="inlineStr">
        <is>
          <t>12317 A</t>
        </is>
      </c>
      <c r="M251" s="17" t="inlineStr">
        <is>
          <t>M ARUTAHI RENE</t>
        </is>
      </c>
      <c r="N251" s="17" t="inlineStr">
        <is>
          <t>Chef d entreprise</t>
        </is>
      </c>
      <c r="O251" s="18" t="inlineStr">
        <is>
          <t>7159</t>
        </is>
      </c>
    </row>
    <row r="252" ht="20" customHeight="1">
      <c r="A252" s="13" t="inlineStr">
        <is>
          <t>PAEA-CCISM-0251</t>
        </is>
      </c>
      <c r="B252" s="13" t="inlineStr">
        <is>
          <t>571026</t>
        </is>
      </c>
      <c r="C252" s="14" t="inlineStr">
        <is>
          <t>ASSISTANCE AMBULANCE</t>
        </is>
      </c>
      <c r="D252" s="14" t="inlineStr">
        <is>
          <t>PAEA PK 21 C:MER 98711 PAEA</t>
        </is>
      </c>
      <c r="E252" s="14" t="inlineStr">
        <is>
          <t>SARL</t>
        </is>
      </c>
      <c r="F252" s="14" t="inlineStr">
        <is>
          <t>Société</t>
        </is>
      </c>
      <c r="G252" s="13" t="inlineStr">
        <is>
          <t>8690A</t>
        </is>
      </c>
      <c r="H252" s="13" t="inlineStr">
        <is>
          <t>M</t>
        </is>
      </c>
      <c r="I252" s="14" t="inlineStr">
        <is>
          <t>Métiers &amp; Artisanat</t>
        </is>
      </c>
      <c r="J252" s="15" t="n">
        <v>0</v>
      </c>
      <c r="K252" s="15" t="n">
        <v>1</v>
      </c>
      <c r="L252" s="14" t="inlineStr">
        <is>
          <t>8065 B</t>
        </is>
      </c>
      <c r="M252" s="14" t="inlineStr">
        <is>
          <t>M JEHEL PASCAL ANDRÉ NOÊL</t>
        </is>
      </c>
      <c r="N252" s="14" t="inlineStr"/>
      <c r="O252" s="15" t="inlineStr">
        <is>
          <t>7169</t>
        </is>
      </c>
    </row>
    <row r="253" ht="20" customHeight="1">
      <c r="A253" s="16" t="inlineStr">
        <is>
          <t>PAEA-CCISM-0252</t>
        </is>
      </c>
      <c r="B253" s="16" t="inlineStr">
        <is>
          <t>945279</t>
        </is>
      </c>
      <c r="C253" s="17" t="inlineStr">
        <is>
          <t>ATA NEE ARAI HEIVA TORAHI VANESSA</t>
        </is>
      </c>
      <c r="D253" s="17" t="inlineStr">
        <is>
          <t>SERV.TAMATERAI 98711 PAEA</t>
        </is>
      </c>
      <c r="E253" s="17" t="inlineStr">
        <is>
          <t>Patenté (Personne Physique)</t>
        </is>
      </c>
      <c r="F253" s="17" t="inlineStr">
        <is>
          <t>Patenté</t>
        </is>
      </c>
      <c r="G253" s="16" t="inlineStr">
        <is>
          <t>8121Z</t>
        </is>
      </c>
      <c r="H253" s="16" t="inlineStr">
        <is>
          <t>M</t>
        </is>
      </c>
      <c r="I253" s="17" t="inlineStr">
        <is>
          <t>Métiers &amp; Artisanat</t>
        </is>
      </c>
      <c r="J253" s="18" t="n">
        <v>0</v>
      </c>
      <c r="K253" s="18" t="n">
        <v>1</v>
      </c>
      <c r="L253" s="17" t="inlineStr">
        <is>
          <t>10 750 A</t>
        </is>
      </c>
      <c r="M253" s="17" t="inlineStr">
        <is>
          <t>Mme ATA (Née ARAI) HEIVA TORAHI VANESSA</t>
        </is>
      </c>
      <c r="N253" s="17" t="inlineStr">
        <is>
          <t>Chef d entreprise</t>
        </is>
      </c>
      <c r="O253" s="18" t="inlineStr">
        <is>
          <t>7173</t>
        </is>
      </c>
    </row>
    <row r="254" ht="20" customHeight="1">
      <c r="A254" s="13" t="inlineStr">
        <is>
          <t>PAEA-CCISM-0253</t>
        </is>
      </c>
      <c r="B254" s="13" t="inlineStr">
        <is>
          <t>F97440</t>
        </is>
      </c>
      <c r="C254" s="14" t="inlineStr">
        <is>
          <t>ATEO HEIFARA</t>
        </is>
      </c>
      <c r="D254" s="14" t="inlineStr">
        <is>
          <t>QUARTIER TERIITUA 98711 PAEA</t>
        </is>
      </c>
      <c r="E254" s="14" t="inlineStr">
        <is>
          <t>Patenté (Personne Physique)</t>
        </is>
      </c>
      <c r="F254" s="14" t="inlineStr">
        <is>
          <t>Patenté</t>
        </is>
      </c>
      <c r="G254" s="13" t="inlineStr">
        <is>
          <t>4339Z</t>
        </is>
      </c>
      <c r="H254" s="13" t="inlineStr">
        <is>
          <t>M</t>
        </is>
      </c>
      <c r="I254" s="14" t="inlineStr">
        <is>
          <t>Métiers &amp; Artisanat</t>
        </is>
      </c>
      <c r="J254" s="15" t="n">
        <v>0</v>
      </c>
      <c r="K254" s="15" t="n">
        <v>1</v>
      </c>
      <c r="L254" s="14" t="inlineStr">
        <is>
          <t>24 2150 A</t>
        </is>
      </c>
      <c r="M254" s="14" t="inlineStr">
        <is>
          <t>M ATEO HEIFARA</t>
        </is>
      </c>
      <c r="N254" s="14" t="inlineStr">
        <is>
          <t>Chef d entreprise</t>
        </is>
      </c>
      <c r="O254" s="15" t="inlineStr">
        <is>
          <t>7207</t>
        </is>
      </c>
    </row>
    <row r="255" ht="20" customHeight="1">
      <c r="A255" s="16" t="inlineStr">
        <is>
          <t>PAEA-CCISM-0254</t>
        </is>
      </c>
      <c r="B255" s="16" t="inlineStr">
        <is>
          <t>F55810</t>
        </is>
      </c>
      <c r="C255" s="17" t="inlineStr">
        <is>
          <t>ATUAHIVA HOANUI</t>
        </is>
      </c>
      <c r="D255" s="17" t="inlineStr">
        <is>
          <t>LOTISSEMENT PUHANA MARAA 98711 PAEA</t>
        </is>
      </c>
      <c r="E255" s="17" t="inlineStr">
        <is>
          <t>Patenté (Personne Physique)</t>
        </is>
      </c>
      <c r="F255" s="17" t="inlineStr">
        <is>
          <t>Patenté</t>
        </is>
      </c>
      <c r="G255" s="16" t="inlineStr">
        <is>
          <t>4291Z</t>
        </is>
      </c>
      <c r="H255" s="16" t="inlineStr">
        <is>
          <t>M</t>
        </is>
      </c>
      <c r="I255" s="17" t="inlineStr">
        <is>
          <t>Métiers &amp; Artisanat</t>
        </is>
      </c>
      <c r="J255" s="18" t="n">
        <v>0</v>
      </c>
      <c r="K255" s="18" t="n">
        <v>1</v>
      </c>
      <c r="L255" s="17" t="inlineStr">
        <is>
          <t>23 2756 A</t>
        </is>
      </c>
      <c r="M255" s="17" t="inlineStr">
        <is>
          <t>M ATUAHIVA HOANUI</t>
        </is>
      </c>
      <c r="N255" s="17" t="inlineStr">
        <is>
          <t>Chef d entreprise</t>
        </is>
      </c>
      <c r="O255" s="18" t="inlineStr">
        <is>
          <t>7233</t>
        </is>
      </c>
    </row>
    <row r="256" ht="20" customHeight="1">
      <c r="A256" s="13" t="inlineStr">
        <is>
          <t>PAEA-CCISM-0255</t>
        </is>
      </c>
      <c r="B256" s="13" t="inlineStr">
        <is>
          <t>C65303</t>
        </is>
      </c>
      <c r="C256" s="14" t="inlineStr">
        <is>
          <t>AUE LINEBER VEHIATUA</t>
        </is>
      </c>
      <c r="D256" s="14" t="inlineStr">
        <is>
          <t>PK 27 - COTE MONTAGNE 98711 PAEA</t>
        </is>
      </c>
      <c r="E256" s="14" t="inlineStr">
        <is>
          <t>Patenté (Personne Physique)</t>
        </is>
      </c>
      <c r="F256" s="14" t="inlineStr">
        <is>
          <t>Patenté</t>
        </is>
      </c>
      <c r="G256" s="13" t="inlineStr">
        <is>
          <t>4221Z</t>
        </is>
      </c>
      <c r="H256" s="13" t="inlineStr">
        <is>
          <t>M</t>
        </is>
      </c>
      <c r="I256" s="14" t="inlineStr">
        <is>
          <t>Métiers &amp; Artisanat</t>
        </is>
      </c>
      <c r="J256" s="15" t="n">
        <v>0</v>
      </c>
      <c r="K256" s="15" t="n">
        <v>1</v>
      </c>
      <c r="L256" s="14" t="inlineStr">
        <is>
          <t>18 310 A</t>
        </is>
      </c>
      <c r="M256" s="14" t="inlineStr">
        <is>
          <t>M AUE LINEBER VEHIATUA</t>
        </is>
      </c>
      <c r="N256" s="14" t="inlineStr">
        <is>
          <t>Chef d entreprise</t>
        </is>
      </c>
      <c r="O256" s="15" t="inlineStr">
        <is>
          <t>7252</t>
        </is>
      </c>
    </row>
    <row r="257" ht="20" customHeight="1">
      <c r="A257" s="16" t="inlineStr">
        <is>
          <t>PAEA-CCISM-0256</t>
        </is>
      </c>
      <c r="B257" s="16" t="inlineStr">
        <is>
          <t>A37579</t>
        </is>
      </c>
      <c r="C257" s="17" t="inlineStr">
        <is>
          <t>BAMBRIDGE BORDEAUX OUTUTAIHIA</t>
        </is>
      </c>
      <c r="D257" s="17" t="inlineStr">
        <is>
          <t>PAEA PK 22.800 C/MONT 98711 PAEA</t>
        </is>
      </c>
      <c r="E257" s="17" t="inlineStr">
        <is>
          <t>Patenté (Personne Physique)</t>
        </is>
      </c>
      <c r="F257" s="17" t="inlineStr">
        <is>
          <t>Patenté</t>
        </is>
      </c>
      <c r="G257" s="16" t="inlineStr">
        <is>
          <t>4520A</t>
        </is>
      </c>
      <c r="H257" s="16" t="inlineStr">
        <is>
          <t>M</t>
        </is>
      </c>
      <c r="I257" s="17" t="inlineStr">
        <is>
          <t>Métiers &amp; Artisanat</t>
        </is>
      </c>
      <c r="J257" s="18" t="n">
        <v>0</v>
      </c>
      <c r="K257" s="18" t="n">
        <v>1</v>
      </c>
      <c r="L257" s="17" t="inlineStr">
        <is>
          <t>12 1440 A</t>
        </is>
      </c>
      <c r="M257" s="17" t="inlineStr">
        <is>
          <t>M BAMBRIDGE BORDEAUX OUTUTAIHIA</t>
        </is>
      </c>
      <c r="N257" s="17" t="inlineStr">
        <is>
          <t>Chef d entreprise</t>
        </is>
      </c>
      <c r="O257" s="18" t="inlineStr">
        <is>
          <t>7338</t>
        </is>
      </c>
    </row>
    <row r="258" ht="20" customHeight="1">
      <c r="A258" s="13" t="inlineStr">
        <is>
          <t>PAEA-CCISM-0257</t>
        </is>
      </c>
      <c r="B258" s="13" t="inlineStr">
        <is>
          <t>133611</t>
        </is>
      </c>
      <c r="C258" s="14" t="inlineStr">
        <is>
          <t>BAMBRIDGE ROOMA</t>
        </is>
      </c>
      <c r="D258" s="14" t="inlineStr">
        <is>
          <t>PAEA PK 23,500 C/MONT 98711 PAEA</t>
        </is>
      </c>
      <c r="E258" s="14" t="inlineStr">
        <is>
          <t>Patenté (Personne Physique)</t>
        </is>
      </c>
      <c r="F258" s="14" t="inlineStr">
        <is>
          <t>Patenté</t>
        </is>
      </c>
      <c r="G258" s="13" t="inlineStr">
        <is>
          <t>4520A</t>
        </is>
      </c>
      <c r="H258" s="13" t="inlineStr">
        <is>
          <t>M</t>
        </is>
      </c>
      <c r="I258" s="14" t="inlineStr">
        <is>
          <t>Métiers &amp; Artisanat</t>
        </is>
      </c>
      <c r="J258" s="15" t="n">
        <v>0</v>
      </c>
      <c r="K258" s="15" t="n">
        <v>1</v>
      </c>
      <c r="L258" s="14" t="inlineStr"/>
      <c r="M258" s="14" t="inlineStr">
        <is>
          <t>13772 A</t>
        </is>
      </c>
      <c r="N258" s="14" t="inlineStr"/>
      <c r="O258" s="15" t="inlineStr"/>
    </row>
    <row r="259" ht="20" customHeight="1">
      <c r="A259" s="16" t="inlineStr">
        <is>
          <t>PAEA-CCISM-0258</t>
        </is>
      </c>
      <c r="B259" s="16" t="inlineStr">
        <is>
          <t>F56966</t>
        </is>
      </c>
      <c r="C259" s="17" t="inlineStr">
        <is>
          <t>BARSINAS PAKITETE</t>
        </is>
      </c>
      <c r="D259" s="17" t="inlineStr">
        <is>
          <t>SERV CADOUSTEAU 98711 PAEA</t>
        </is>
      </c>
      <c r="E259" s="17" t="inlineStr">
        <is>
          <t>Patenté (Personne Physique)</t>
        </is>
      </c>
      <c r="F259" s="17" t="inlineStr">
        <is>
          <t>Patenté</t>
        </is>
      </c>
      <c r="G259" s="16" t="inlineStr">
        <is>
          <t>4339Z</t>
        </is>
      </c>
      <c r="H259" s="16" t="inlineStr">
        <is>
          <t>M</t>
        </is>
      </c>
      <c r="I259" s="17" t="inlineStr">
        <is>
          <t>Métiers &amp; Artisanat</t>
        </is>
      </c>
      <c r="J259" s="18" t="n">
        <v>0</v>
      </c>
      <c r="K259" s="18" t="n">
        <v>1</v>
      </c>
      <c r="L259" s="17" t="inlineStr">
        <is>
          <t>24 516 A</t>
        </is>
      </c>
      <c r="M259" s="17" t="inlineStr">
        <is>
          <t>M BARSINAS PAKITETE</t>
        </is>
      </c>
      <c r="N259" s="17" t="inlineStr">
        <is>
          <t>Chef d entreprise</t>
        </is>
      </c>
      <c r="O259" s="18" t="inlineStr">
        <is>
          <t>7392</t>
        </is>
      </c>
    </row>
    <row r="260" ht="20" customHeight="1">
      <c r="A260" s="13" t="inlineStr">
        <is>
          <t>PAEA-CCISM-0259</t>
        </is>
      </c>
      <c r="B260" s="13" t="inlineStr">
        <is>
          <t>D94368</t>
        </is>
      </c>
      <c r="C260" s="14" t="inlineStr">
        <is>
          <t>BATI FENUA</t>
        </is>
      </c>
      <c r="D260" s="14" t="inlineStr">
        <is>
          <t>N°8 SERVITUDE TAURUA 98711 PAEA</t>
        </is>
      </c>
      <c r="E260" s="14" t="inlineStr">
        <is>
          <t>SARL</t>
        </is>
      </c>
      <c r="F260" s="14" t="inlineStr">
        <is>
          <t>Société</t>
        </is>
      </c>
      <c r="G260" s="13" t="inlineStr">
        <is>
          <t>4120A</t>
        </is>
      </c>
      <c r="H260" s="13" t="inlineStr">
        <is>
          <t>M</t>
        </is>
      </c>
      <c r="I260" s="14" t="inlineStr">
        <is>
          <t>Métiers &amp; Artisanat</t>
        </is>
      </c>
      <c r="J260" s="15" t="n">
        <v>1</v>
      </c>
      <c r="K260" s="15" t="n">
        <v>1</v>
      </c>
      <c r="L260" s="14" t="inlineStr">
        <is>
          <t>20 269 B</t>
        </is>
      </c>
      <c r="M260" s="14" t="inlineStr">
        <is>
          <t>Mme ANGELO (Née BARBOT) NATHALIE SYLVIE</t>
        </is>
      </c>
      <c r="N260" s="14" t="inlineStr">
        <is>
          <t>Gérant</t>
        </is>
      </c>
      <c r="O260" s="15" t="inlineStr">
        <is>
          <t>7407</t>
        </is>
      </c>
    </row>
    <row r="261" ht="20" customHeight="1">
      <c r="A261" s="16" t="inlineStr">
        <is>
          <t>PAEA-CCISM-0260</t>
        </is>
      </c>
      <c r="B261" s="16" t="inlineStr">
        <is>
          <t>F63947</t>
        </is>
      </c>
      <c r="C261" s="17" t="inlineStr">
        <is>
          <t>BAYLE ROBERT</t>
        </is>
      </c>
      <c r="D261" s="17" t="inlineStr">
        <is>
          <t>SERV DEANE QTIER TOETOE 2, 8E A GAUCHE 98711 PAEA</t>
        </is>
      </c>
      <c r="E261" s="17" t="inlineStr">
        <is>
          <t>Patenté (Personne Physique)</t>
        </is>
      </c>
      <c r="F261" s="17" t="inlineStr">
        <is>
          <t>Patenté</t>
        </is>
      </c>
      <c r="G261" s="16" t="inlineStr">
        <is>
          <t>3320D</t>
        </is>
      </c>
      <c r="H261" s="16" t="inlineStr">
        <is>
          <t>M</t>
        </is>
      </c>
      <c r="I261" s="17" t="inlineStr">
        <is>
          <t>Métiers &amp; Artisanat</t>
        </is>
      </c>
      <c r="J261" s="18" t="n">
        <v>0</v>
      </c>
      <c r="K261" s="18" t="n">
        <v>1</v>
      </c>
      <c r="L261" s="17" t="inlineStr">
        <is>
          <t>23 3340 A</t>
        </is>
      </c>
      <c r="M261" s="17" t="inlineStr">
        <is>
          <t>M BAYLE ROBERT</t>
        </is>
      </c>
      <c r="N261" s="17" t="inlineStr">
        <is>
          <t>Chef d entreprise</t>
        </is>
      </c>
      <c r="O261" s="18" t="inlineStr">
        <is>
          <t>7420</t>
        </is>
      </c>
    </row>
    <row r="262" ht="20" customHeight="1">
      <c r="A262" s="13" t="inlineStr">
        <is>
          <t>PAEA-CCISM-0261</t>
        </is>
      </c>
      <c r="B262" s="13" t="inlineStr">
        <is>
          <t>F54318</t>
        </is>
      </c>
      <c r="C262" s="14" t="inlineStr">
        <is>
          <t>BEAULIEU SHARON</t>
        </is>
      </c>
      <c r="D262" s="14" t="inlineStr">
        <is>
          <t>LOT 34 LOT BALDWIN 98711 PAEA</t>
        </is>
      </c>
      <c r="E262" s="14" t="inlineStr">
        <is>
          <t>Patenté (Personne Physique)</t>
        </is>
      </c>
      <c r="F262" s="14" t="inlineStr">
        <is>
          <t>Patenté</t>
        </is>
      </c>
      <c r="G262" s="13" t="inlineStr">
        <is>
          <t>3299Z</t>
        </is>
      </c>
      <c r="H262" s="13" t="inlineStr">
        <is>
          <t>M</t>
        </is>
      </c>
      <c r="I262" s="14" t="inlineStr">
        <is>
          <t>Métiers &amp; Artisanat</t>
        </is>
      </c>
      <c r="J262" s="15" t="n">
        <v>0</v>
      </c>
      <c r="K262" s="15" t="n">
        <v>1</v>
      </c>
      <c r="L262" s="14" t="inlineStr">
        <is>
          <t>23 2715 A</t>
        </is>
      </c>
      <c r="M262" s="14" t="inlineStr">
        <is>
          <t>Mme BEAULIEU SHARON</t>
        </is>
      </c>
      <c r="N262" s="14" t="inlineStr">
        <is>
          <t>Chef d entreprise</t>
        </is>
      </c>
      <c r="O262" s="15" t="inlineStr">
        <is>
          <t>7430</t>
        </is>
      </c>
    </row>
    <row r="263" ht="20" customHeight="1">
      <c r="A263" s="16" t="inlineStr">
        <is>
          <t>PAEA-CCISM-0262</t>
        </is>
      </c>
      <c r="B263" s="16" t="inlineStr">
        <is>
          <t>676742</t>
        </is>
      </c>
      <c r="C263" s="17" t="inlineStr">
        <is>
          <t>BEAUSSART LUC ALBERT</t>
        </is>
      </c>
      <c r="D263" s="17" t="inlineStr">
        <is>
          <t>PAEA PK 19.800 C/MONT - DERR.SALLE TIA 98711 PAEA</t>
        </is>
      </c>
      <c r="E263" s="17" t="inlineStr">
        <is>
          <t>Patenté (Personne Physique)</t>
        </is>
      </c>
      <c r="F263" s="17" t="inlineStr">
        <is>
          <t>Patenté</t>
        </is>
      </c>
      <c r="G263" s="16" t="inlineStr">
        <is>
          <t>4339Z</t>
        </is>
      </c>
      <c r="H263" s="16" t="inlineStr">
        <is>
          <t>M</t>
        </is>
      </c>
      <c r="I263" s="17" t="inlineStr">
        <is>
          <t>Métiers &amp; Artisanat</t>
        </is>
      </c>
      <c r="J263" s="18" t="n">
        <v>0</v>
      </c>
      <c r="K263" s="18" t="n">
        <v>1</v>
      </c>
      <c r="L263" s="17" t="inlineStr">
        <is>
          <t>10 2002 A</t>
        </is>
      </c>
      <c r="M263" s="17" t="inlineStr">
        <is>
          <t>M BEAUSSART LUC ALBERT</t>
        </is>
      </c>
      <c r="N263" s="17" t="inlineStr">
        <is>
          <t>Chef d entreprise</t>
        </is>
      </c>
      <c r="O263" s="18" t="inlineStr">
        <is>
          <t>7435</t>
        </is>
      </c>
    </row>
    <row r="264" ht="20" customHeight="1">
      <c r="A264" s="13" t="inlineStr">
        <is>
          <t>PAEA-CCISM-0263</t>
        </is>
      </c>
      <c r="B264" s="13" t="inlineStr">
        <is>
          <t>B38641</t>
        </is>
      </c>
      <c r="C264" s="14" t="inlineStr">
        <is>
          <t>BELLAIS JEAN-PIOI</t>
        </is>
      </c>
      <c r="D264" s="14" t="inlineStr">
        <is>
          <t>VAL DE OROFERO QUA JENNINGS 98711 PAEA</t>
        </is>
      </c>
      <c r="E264" s="14" t="inlineStr">
        <is>
          <t>Patenté (Personne Physique)</t>
        </is>
      </c>
      <c r="F264" s="14" t="inlineStr">
        <is>
          <t>Patenté</t>
        </is>
      </c>
      <c r="G264" s="13" t="inlineStr">
        <is>
          <t>4339Z</t>
        </is>
      </c>
      <c r="H264" s="13" t="inlineStr">
        <is>
          <t>M</t>
        </is>
      </c>
      <c r="I264" s="14" t="inlineStr">
        <is>
          <t>Métiers &amp; Artisanat</t>
        </is>
      </c>
      <c r="J264" s="15" t="n">
        <v>0</v>
      </c>
      <c r="K264" s="15" t="n">
        <v>1</v>
      </c>
      <c r="L264" s="14" t="inlineStr">
        <is>
          <t>15 416 A</t>
        </is>
      </c>
      <c r="M264" s="14" t="inlineStr">
        <is>
          <t>M BELLAIS JEAN-PIOI</t>
        </is>
      </c>
      <c r="N264" s="14" t="inlineStr">
        <is>
          <t>Chef d entreprise</t>
        </is>
      </c>
      <c r="O264" s="15" t="inlineStr">
        <is>
          <t>7449</t>
        </is>
      </c>
    </row>
    <row r="265" ht="20" customHeight="1">
      <c r="A265" s="16" t="inlineStr">
        <is>
          <t>PAEA-CCISM-0264</t>
        </is>
      </c>
      <c r="B265" s="16" t="inlineStr">
        <is>
          <t>D57423</t>
        </is>
      </c>
      <c r="C265" s="17" t="inlineStr">
        <is>
          <t>BELLAIS LUFIN</t>
        </is>
      </c>
      <c r="D265" s="17" t="inlineStr">
        <is>
          <t>98711 PAEA</t>
        </is>
      </c>
      <c r="E265" s="17" t="inlineStr">
        <is>
          <t>Patenté (Personne Physique)</t>
        </is>
      </c>
      <c r="F265" s="17" t="inlineStr">
        <is>
          <t>Patenté</t>
        </is>
      </c>
      <c r="G265" s="16" t="inlineStr">
        <is>
          <t>4339Z</t>
        </is>
      </c>
      <c r="H265" s="16" t="inlineStr">
        <is>
          <t>M</t>
        </is>
      </c>
      <c r="I265" s="17" t="inlineStr">
        <is>
          <t>Métiers &amp; Artisanat</t>
        </is>
      </c>
      <c r="J265" s="18" t="n">
        <v>0</v>
      </c>
      <c r="K265" s="18" t="n">
        <v>1</v>
      </c>
      <c r="L265" s="17" t="inlineStr">
        <is>
          <t>20 28 A</t>
        </is>
      </c>
      <c r="M265" s="17" t="inlineStr">
        <is>
          <t>M BELLAIS LUFIN</t>
        </is>
      </c>
      <c r="N265" s="17" t="inlineStr">
        <is>
          <t>Chef d entreprise</t>
        </is>
      </c>
      <c r="O265" s="18" t="inlineStr">
        <is>
          <t>7452</t>
        </is>
      </c>
    </row>
    <row r="266" ht="20" customHeight="1">
      <c r="A266" s="13" t="inlineStr">
        <is>
          <t>PAEA-CCISM-0265</t>
        </is>
      </c>
      <c r="B266" s="13" t="inlineStr">
        <is>
          <t>D52507</t>
        </is>
      </c>
      <c r="C266" s="14" t="inlineStr">
        <is>
          <t>BEN FREDJ SOPHIE</t>
        </is>
      </c>
      <c r="D266" s="14" t="inlineStr">
        <is>
          <t>SERVITUDE VAIATU 98711 PAEA</t>
        </is>
      </c>
      <c r="E266" s="14" t="inlineStr">
        <is>
          <t>Patenté (Personne Physique)</t>
        </is>
      </c>
      <c r="F266" s="14" t="inlineStr">
        <is>
          <t>Patenté</t>
        </is>
      </c>
      <c r="G266" s="13" t="inlineStr">
        <is>
          <t>9602B</t>
        </is>
      </c>
      <c r="H266" s="13" t="inlineStr">
        <is>
          <t>M</t>
        </is>
      </c>
      <c r="I266" s="14" t="inlineStr">
        <is>
          <t>Métiers &amp; Artisanat</t>
        </is>
      </c>
      <c r="J266" s="15" t="n">
        <v>0</v>
      </c>
      <c r="K266" s="15" t="n">
        <v>1</v>
      </c>
      <c r="L266" s="14" t="inlineStr">
        <is>
          <t>19 3188 A</t>
        </is>
      </c>
      <c r="M266" s="14" t="inlineStr">
        <is>
          <t>Mme BEN FREDJ SOPHIE</t>
        </is>
      </c>
      <c r="N266" s="14" t="inlineStr">
        <is>
          <t>Chef d entreprise</t>
        </is>
      </c>
      <c r="O266" s="15" t="inlineStr">
        <is>
          <t>7467</t>
        </is>
      </c>
    </row>
    <row r="267" ht="20" customHeight="1">
      <c r="A267" s="16" t="inlineStr">
        <is>
          <t>PAEA-CCISM-0266</t>
        </is>
      </c>
      <c r="B267" s="16" t="inlineStr">
        <is>
          <t>A48022</t>
        </is>
      </c>
      <c r="C267" s="17" t="inlineStr">
        <is>
          <t>BERARD-BENICHOU MIKE ALBERT</t>
        </is>
      </c>
      <c r="D267" s="17" t="inlineStr">
        <is>
          <t>SERVITUDE LEHARTEL 98711 PAEA</t>
        </is>
      </c>
      <c r="E267" s="17" t="inlineStr">
        <is>
          <t>Patenté (Personne Physique)</t>
        </is>
      </c>
      <c r="F267" s="17" t="inlineStr">
        <is>
          <t>Patenté</t>
        </is>
      </c>
      <c r="G267" s="16" t="inlineStr">
        <is>
          <t>4339Z</t>
        </is>
      </c>
      <c r="H267" s="16" t="inlineStr">
        <is>
          <t>M</t>
        </is>
      </c>
      <c r="I267" s="17" t="inlineStr">
        <is>
          <t>Métiers &amp; Artisanat</t>
        </is>
      </c>
      <c r="J267" s="18" t="n">
        <v>0</v>
      </c>
      <c r="K267" s="18" t="n">
        <v>1</v>
      </c>
      <c r="L267" s="17" t="inlineStr">
        <is>
          <t>22 1675 A</t>
        </is>
      </c>
      <c r="M267" s="17" t="inlineStr">
        <is>
          <t>M BERARD-BENICHOU MIKE ALBERT</t>
        </is>
      </c>
      <c r="N267" s="17" t="inlineStr">
        <is>
          <t>Chef d entreprise</t>
        </is>
      </c>
      <c r="O267" s="18" t="inlineStr">
        <is>
          <t>7498</t>
        </is>
      </c>
    </row>
    <row r="268" ht="20" customHeight="1">
      <c r="A268" s="13" t="inlineStr">
        <is>
          <t>PAEA-CCISM-0267</t>
        </is>
      </c>
      <c r="B268" s="13" t="inlineStr">
        <is>
          <t>D62837</t>
        </is>
      </c>
      <c r="C268" s="14" t="inlineStr">
        <is>
          <t>BERNARD DAMIEN PAUL-HENRY</t>
        </is>
      </c>
      <c r="D268" s="14" t="inlineStr">
        <is>
          <t>RTE SERVITUDE TEIOATUA MAISON N° 10 98711 PAEA</t>
        </is>
      </c>
      <c r="E268" s="14" t="inlineStr">
        <is>
          <t>Patenté (Personne Physique)</t>
        </is>
      </c>
      <c r="F268" s="14" t="inlineStr">
        <is>
          <t>Patenté</t>
        </is>
      </c>
      <c r="G268" s="13" t="inlineStr">
        <is>
          <t>1813Z</t>
        </is>
      </c>
      <c r="H268" s="13" t="inlineStr">
        <is>
          <t>M</t>
        </is>
      </c>
      <c r="I268" s="14" t="inlineStr">
        <is>
          <t>Métiers &amp; Artisanat</t>
        </is>
      </c>
      <c r="J268" s="15" t="n">
        <v>0</v>
      </c>
      <c r="K268" s="15" t="n">
        <v>1</v>
      </c>
      <c r="L268" s="14" t="inlineStr">
        <is>
          <t>20 490 A</t>
        </is>
      </c>
      <c r="M268" s="14" t="inlineStr">
        <is>
          <t>M BERNARD-AIELLO DAMIEN PAUL-HENRY</t>
        </is>
      </c>
      <c r="N268" s="14" t="inlineStr">
        <is>
          <t>Chef d entreprise</t>
        </is>
      </c>
      <c r="O268" s="15" t="inlineStr">
        <is>
          <t>7511</t>
        </is>
      </c>
    </row>
    <row r="269" ht="20" customHeight="1">
      <c r="A269" s="16" t="inlineStr">
        <is>
          <t>PAEA-CCISM-0268</t>
        </is>
      </c>
      <c r="B269" s="16" t="inlineStr">
        <is>
          <t>E54344</t>
        </is>
      </c>
      <c r="C269" s="17" t="inlineStr">
        <is>
          <t>BERNARDINI VINCENT</t>
        </is>
      </c>
      <c r="D269" s="17" t="inlineStr">
        <is>
          <t>PK 25 C/MONT 98711 PAEA</t>
        </is>
      </c>
      <c r="E269" s="17" t="inlineStr">
        <is>
          <t>Patenté (Personne Physique)</t>
        </is>
      </c>
      <c r="F269" s="17" t="inlineStr">
        <is>
          <t>Patenté</t>
        </is>
      </c>
      <c r="G269" s="16" t="inlineStr">
        <is>
          <t>4339Z</t>
        </is>
      </c>
      <c r="H269" s="16" t="inlineStr">
        <is>
          <t>M</t>
        </is>
      </c>
      <c r="I269" s="17" t="inlineStr">
        <is>
          <t>Métiers &amp; Artisanat</t>
        </is>
      </c>
      <c r="J269" s="18" t="n">
        <v>0</v>
      </c>
      <c r="K269" s="18" t="n">
        <v>1</v>
      </c>
      <c r="L269" s="17" t="inlineStr">
        <is>
          <t>21 3150 A</t>
        </is>
      </c>
      <c r="M269" s="17" t="inlineStr">
        <is>
          <t>M BERNARDINI VINCENT</t>
        </is>
      </c>
      <c r="N269" s="17" t="inlineStr">
        <is>
          <t>Chef d entreprise</t>
        </is>
      </c>
      <c r="O269" s="18" t="inlineStr">
        <is>
          <t>7513</t>
        </is>
      </c>
    </row>
    <row r="270" ht="20" customHeight="1">
      <c r="A270" s="13" t="inlineStr">
        <is>
          <t>PAEA-CCISM-0269</t>
        </is>
      </c>
      <c r="B270" s="13" t="inlineStr">
        <is>
          <t>259523</t>
        </is>
      </c>
      <c r="C270" s="14" t="inlineStr">
        <is>
          <t>BERNIERE WILFRED VICTOR</t>
        </is>
      </c>
      <c r="D270" s="14" t="inlineStr">
        <is>
          <t>PAEA PK 22 C/MONT - VAL OROFERO 98711 PAEA</t>
        </is>
      </c>
      <c r="E270" s="14" t="inlineStr">
        <is>
          <t>Patenté (Personne Physique)</t>
        </is>
      </c>
      <c r="F270" s="14" t="inlineStr">
        <is>
          <t>Patenté</t>
        </is>
      </c>
      <c r="G270" s="13" t="inlineStr">
        <is>
          <t>4339Z</t>
        </is>
      </c>
      <c r="H270" s="13" t="inlineStr">
        <is>
          <t>M</t>
        </is>
      </c>
      <c r="I270" s="14" t="inlineStr">
        <is>
          <t>Métiers &amp; Artisanat</t>
        </is>
      </c>
      <c r="J270" s="15" t="n">
        <v>0</v>
      </c>
      <c r="K270" s="15" t="n">
        <v>1</v>
      </c>
      <c r="L270" s="14" t="inlineStr">
        <is>
          <t>36365 A</t>
        </is>
      </c>
      <c r="M270" s="14" t="inlineStr">
        <is>
          <t>M BERNIERE WILFRED VICTOR</t>
        </is>
      </c>
      <c r="N270" s="14" t="inlineStr">
        <is>
          <t>Chef d entreprise</t>
        </is>
      </c>
      <c r="O270" s="15" t="inlineStr">
        <is>
          <t>7525</t>
        </is>
      </c>
    </row>
    <row r="271" ht="20" customHeight="1">
      <c r="A271" s="16" t="inlineStr">
        <is>
          <t>PAEA-CCISM-0270</t>
        </is>
      </c>
      <c r="B271" s="16" t="inlineStr">
        <is>
          <t>500843</t>
        </is>
      </c>
      <c r="C271" s="17" t="inlineStr">
        <is>
          <t>BERTIN VIRGINIE CHRISTELLE</t>
        </is>
      </c>
      <c r="D271" s="17" t="inlineStr">
        <is>
          <t>25 SERVITUDE TERIITUA 1 98711 PAEA</t>
        </is>
      </c>
      <c r="E271" s="17" t="inlineStr">
        <is>
          <t>Patenté (Personne Physique)</t>
        </is>
      </c>
      <c r="F271" s="17" t="inlineStr">
        <is>
          <t>Patenté</t>
        </is>
      </c>
      <c r="G271" s="16" t="inlineStr">
        <is>
          <t>3212Z</t>
        </is>
      </c>
      <c r="H271" s="16" t="inlineStr">
        <is>
          <t>M</t>
        </is>
      </c>
      <c r="I271" s="17" t="inlineStr">
        <is>
          <t>Métiers &amp; Artisanat</t>
        </is>
      </c>
      <c r="J271" s="18" t="n">
        <v>0</v>
      </c>
      <c r="K271" s="18" t="n">
        <v>1</v>
      </c>
      <c r="L271" s="17" t="inlineStr">
        <is>
          <t>22 2446 A</t>
        </is>
      </c>
      <c r="M271" s="17" t="inlineStr">
        <is>
          <t>Mme BERTIN VIRGINIE CHRISTELLE</t>
        </is>
      </c>
      <c r="N271" s="17" t="inlineStr">
        <is>
          <t>Chef d entreprise</t>
        </is>
      </c>
      <c r="O271" s="18" t="inlineStr">
        <is>
          <t>7536</t>
        </is>
      </c>
    </row>
    <row r="272" ht="20" customHeight="1">
      <c r="A272" s="13" t="inlineStr">
        <is>
          <t>PAEA-CCISM-0271</t>
        </is>
      </c>
      <c r="B272" s="13" t="inlineStr">
        <is>
          <t>E45524</t>
        </is>
      </c>
      <c r="C272" s="14" t="inlineStr">
        <is>
          <t>BERTON KARINE</t>
        </is>
      </c>
      <c r="D272" s="14" t="inlineStr">
        <is>
          <t>TERRE TEPUTAITA PARCELLE AE 26 98711 PAEA</t>
        </is>
      </c>
      <c r="E272" s="14" t="inlineStr">
        <is>
          <t>Patenté (Personne Physique)</t>
        </is>
      </c>
      <c r="F272" s="14" t="inlineStr">
        <is>
          <t>Patenté</t>
        </is>
      </c>
      <c r="G272" s="13" t="inlineStr">
        <is>
          <t>9602A</t>
        </is>
      </c>
      <c r="H272" s="13" t="inlineStr">
        <is>
          <t>M</t>
        </is>
      </c>
      <c r="I272" s="14" t="inlineStr">
        <is>
          <t>Métiers &amp; Artisanat</t>
        </is>
      </c>
      <c r="J272" s="15" t="n">
        <v>0</v>
      </c>
      <c r="K272" s="15" t="n">
        <v>1</v>
      </c>
      <c r="L272" s="14" t="inlineStr">
        <is>
          <t>21 2629 A</t>
        </is>
      </c>
      <c r="M272" s="14" t="inlineStr">
        <is>
          <t>Mme BERTON KARINE</t>
        </is>
      </c>
      <c r="N272" s="14" t="inlineStr">
        <is>
          <t>Chef d entreprise</t>
        </is>
      </c>
      <c r="O272" s="15" t="inlineStr">
        <is>
          <t>7539</t>
        </is>
      </c>
    </row>
    <row r="273" ht="20" customHeight="1">
      <c r="A273" s="16" t="inlineStr">
        <is>
          <t>PAEA-CCISM-0272</t>
        </is>
      </c>
      <c r="B273" s="16" t="inlineStr">
        <is>
          <t>568394</t>
        </is>
      </c>
      <c r="C273" s="17" t="inlineStr">
        <is>
          <t>BLANCO BERNARD LOUIS FRANCIS</t>
        </is>
      </c>
      <c r="D273" s="17" t="inlineStr">
        <is>
          <t>PAEA PK 22.2 C/MER 98711 PAEA</t>
        </is>
      </c>
      <c r="E273" s="17" t="inlineStr">
        <is>
          <t>Patenté (Personne Physique)</t>
        </is>
      </c>
      <c r="F273" s="17" t="inlineStr">
        <is>
          <t>Patenté</t>
        </is>
      </c>
      <c r="G273" s="16" t="inlineStr">
        <is>
          <t>4321A</t>
        </is>
      </c>
      <c r="H273" s="16" t="inlineStr">
        <is>
          <t>M</t>
        </is>
      </c>
      <c r="I273" s="17" t="inlineStr">
        <is>
          <t>Métiers &amp; Artisanat</t>
        </is>
      </c>
      <c r="J273" s="18" t="n">
        <v>0</v>
      </c>
      <c r="K273" s="18" t="n">
        <v>1</v>
      </c>
      <c r="L273" s="17" t="inlineStr">
        <is>
          <t>37977 A</t>
        </is>
      </c>
      <c r="M273" s="17" t="inlineStr">
        <is>
          <t>M BLANCO BERNARD LOUIS FRANCIS</t>
        </is>
      </c>
      <c r="N273" s="17" t="inlineStr">
        <is>
          <t>Chef d entreprise</t>
        </is>
      </c>
      <c r="O273" s="18" t="inlineStr">
        <is>
          <t>7581</t>
        </is>
      </c>
    </row>
    <row r="274" ht="20" customHeight="1">
      <c r="A274" s="13" t="inlineStr">
        <is>
          <t>PAEA-CCISM-0273</t>
        </is>
      </c>
      <c r="B274" s="13" t="inlineStr">
        <is>
          <t>A78136</t>
        </is>
      </c>
      <c r="C274" s="14" t="inlineStr">
        <is>
          <t>BOËSSER WILLIAM NORBERT</t>
        </is>
      </c>
      <c r="D274" s="14" t="inlineStr">
        <is>
          <t>98711 PAEA</t>
        </is>
      </c>
      <c r="E274" s="14" t="inlineStr">
        <is>
          <t>Patenté (Personne Physique)</t>
        </is>
      </c>
      <c r="F274" s="14" t="inlineStr">
        <is>
          <t>Patenté</t>
        </is>
      </c>
      <c r="G274" s="13" t="inlineStr">
        <is>
          <t>9521Z</t>
        </is>
      </c>
      <c r="H274" s="13" t="inlineStr">
        <is>
          <t>M</t>
        </is>
      </c>
      <c r="I274" s="14" t="inlineStr">
        <is>
          <t>Métiers &amp; Artisanat</t>
        </is>
      </c>
      <c r="J274" s="15" t="n">
        <v>0</v>
      </c>
      <c r="K274" s="15" t="n">
        <v>1</v>
      </c>
      <c r="L274" s="14" t="inlineStr">
        <is>
          <t>13 1523 A</t>
        </is>
      </c>
      <c r="M274" s="14" t="inlineStr">
        <is>
          <t>M BOËSSER WILLIAM NORBERT</t>
        </is>
      </c>
      <c r="N274" s="14" t="inlineStr">
        <is>
          <t>Chef d entreprise</t>
        </is>
      </c>
      <c r="O274" s="15" t="inlineStr">
        <is>
          <t>7591</t>
        </is>
      </c>
    </row>
    <row r="275" ht="20" customHeight="1">
      <c r="A275" s="16" t="inlineStr">
        <is>
          <t>PAEA-CCISM-0274</t>
        </is>
      </c>
      <c r="B275" s="16" t="inlineStr">
        <is>
          <t>F87730</t>
        </is>
      </c>
      <c r="C275" s="17" t="inlineStr">
        <is>
          <t>BOLLE CHRISTIAN</t>
        </is>
      </c>
      <c r="D275" s="17" t="inlineStr">
        <is>
          <t>98711 PAEA</t>
        </is>
      </c>
      <c r="E275" s="17" t="inlineStr">
        <is>
          <t>Patenté (Personne Physique)</t>
        </is>
      </c>
      <c r="F275" s="17" t="inlineStr">
        <is>
          <t>Patenté</t>
        </is>
      </c>
      <c r="G275" s="16" t="inlineStr">
        <is>
          <t>4339Z</t>
        </is>
      </c>
      <c r="H275" s="16" t="inlineStr">
        <is>
          <t>M</t>
        </is>
      </c>
      <c r="I275" s="17" t="inlineStr">
        <is>
          <t>Métiers &amp; Artisanat</t>
        </is>
      </c>
      <c r="J275" s="18" t="n">
        <v>0</v>
      </c>
      <c r="K275" s="18" t="n">
        <v>1</v>
      </c>
      <c r="L275" s="17" t="inlineStr">
        <is>
          <t>24 1495 A</t>
        </is>
      </c>
      <c r="M275" s="17" t="inlineStr">
        <is>
          <t>M BOLLE CHRISTIAN</t>
        </is>
      </c>
      <c r="N275" s="17" t="inlineStr">
        <is>
          <t>Chef d entreprise</t>
        </is>
      </c>
      <c r="O275" s="18" t="inlineStr">
        <is>
          <t>7606</t>
        </is>
      </c>
    </row>
    <row r="276" ht="20" customHeight="1">
      <c r="A276" s="13" t="inlineStr">
        <is>
          <t>PAEA-CCISM-0275</t>
        </is>
      </c>
      <c r="B276" s="13" t="inlineStr">
        <is>
          <t>856179</t>
        </is>
      </c>
      <c r="C276" s="14" t="inlineStr">
        <is>
          <t>BOURDU LEOPOLD CHRISTIAN JEAN PAUL</t>
        </is>
      </c>
      <c r="D276" s="14" t="inlineStr">
        <is>
          <t>PAEA PK 19.100 C/MER - SERV.SARCIAUX 98711 PAEA</t>
        </is>
      </c>
      <c r="E276" s="14" t="inlineStr">
        <is>
          <t>Patenté (Personne Physique)</t>
        </is>
      </c>
      <c r="F276" s="14" t="inlineStr">
        <is>
          <t>Patenté</t>
        </is>
      </c>
      <c r="G276" s="13" t="inlineStr">
        <is>
          <t>4333Z</t>
        </is>
      </c>
      <c r="H276" s="13" t="inlineStr">
        <is>
          <t>M</t>
        </is>
      </c>
      <c r="I276" s="14" t="inlineStr">
        <is>
          <t>Métiers &amp; Artisanat</t>
        </is>
      </c>
      <c r="J276" s="15" t="n">
        <v>0</v>
      </c>
      <c r="K276" s="15" t="n">
        <v>1</v>
      </c>
      <c r="L276" s="14" t="inlineStr">
        <is>
          <t>08 405 A</t>
        </is>
      </c>
      <c r="M276" s="14" t="inlineStr">
        <is>
          <t>M BOURDU LEOPOLD CHRISTIAN JEAN PAUL</t>
        </is>
      </c>
      <c r="N276" s="14" t="inlineStr">
        <is>
          <t>Chef d entreprise</t>
        </is>
      </c>
      <c r="O276" s="15" t="inlineStr">
        <is>
          <t>7723</t>
        </is>
      </c>
    </row>
    <row r="277" ht="20" customHeight="1">
      <c r="A277" s="16" t="inlineStr">
        <is>
          <t>PAEA-CCISM-0276</t>
        </is>
      </c>
      <c r="B277" s="16" t="inlineStr">
        <is>
          <t>214684</t>
        </is>
      </c>
      <c r="C277" s="17" t="inlineStr">
        <is>
          <t>BOURGERY JEAN-LUC</t>
        </is>
      </c>
      <c r="D277" s="17" t="inlineStr">
        <is>
          <t>PAEA PK 19.500 C/MONT 98711 PAEA</t>
        </is>
      </c>
      <c r="E277" s="17" t="inlineStr">
        <is>
          <t>Patenté (Personne Physique)</t>
        </is>
      </c>
      <c r="F277" s="17" t="inlineStr">
        <is>
          <t>Patenté</t>
        </is>
      </c>
      <c r="G277" s="16" t="inlineStr">
        <is>
          <t>4520A</t>
        </is>
      </c>
      <c r="H277" s="16" t="inlineStr">
        <is>
          <t>M</t>
        </is>
      </c>
      <c r="I277" s="17" t="inlineStr">
        <is>
          <t>Métiers &amp; Artisanat</t>
        </is>
      </c>
      <c r="J277" s="18" t="n">
        <v>0</v>
      </c>
      <c r="K277" s="18" t="n">
        <v>1</v>
      </c>
      <c r="L277" s="17" t="inlineStr">
        <is>
          <t>17963 A</t>
        </is>
      </c>
      <c r="M277" s="17" t="inlineStr">
        <is>
          <t>M BOURGERY JEAN-LUC</t>
        </is>
      </c>
      <c r="N277" s="17" t="inlineStr">
        <is>
          <t>Chef d entreprise</t>
        </is>
      </c>
      <c r="O277" s="18" t="inlineStr">
        <is>
          <t>7726</t>
        </is>
      </c>
    </row>
    <row r="278" ht="20" customHeight="1">
      <c r="A278" s="13" t="inlineStr">
        <is>
          <t>PAEA-CCISM-0277</t>
        </is>
      </c>
      <c r="B278" s="13" t="inlineStr">
        <is>
          <t>D71002</t>
        </is>
      </c>
      <c r="C278" s="14" t="inlineStr">
        <is>
          <t>BOURGET NEE CHARISSOUX MARION</t>
        </is>
      </c>
      <c r="D278" s="14" t="inlineStr">
        <is>
          <t>SERVITUDE ATIVAVAU 2 - N° 11 98711 PAEA</t>
        </is>
      </c>
      <c r="E278" s="14" t="inlineStr">
        <is>
          <t>Patenté (Personne Physique)</t>
        </is>
      </c>
      <c r="F278" s="14" t="inlineStr">
        <is>
          <t>Patenté</t>
        </is>
      </c>
      <c r="G278" s="13" t="inlineStr">
        <is>
          <t>3109A</t>
        </is>
      </c>
      <c r="H278" s="13" t="inlineStr">
        <is>
          <t>M</t>
        </is>
      </c>
      <c r="I278" s="14" t="inlineStr">
        <is>
          <t>Métiers &amp; Artisanat</t>
        </is>
      </c>
      <c r="J278" s="15" t="n">
        <v>0</v>
      </c>
      <c r="K278" s="15" t="n">
        <v>1</v>
      </c>
      <c r="L278" s="14" t="inlineStr">
        <is>
          <t>20 1941 A</t>
        </is>
      </c>
      <c r="M278" s="14" t="inlineStr">
        <is>
          <t>Mme BOURGET (Née CHARISSOUX) MARION</t>
        </is>
      </c>
      <c r="N278" s="14" t="inlineStr">
        <is>
          <t>Chef d entreprise</t>
        </is>
      </c>
      <c r="O278" s="15" t="inlineStr">
        <is>
          <t>7727</t>
        </is>
      </c>
    </row>
    <row r="279" ht="20" customHeight="1">
      <c r="A279" s="16" t="inlineStr">
        <is>
          <t>PAEA-CCISM-0278</t>
        </is>
      </c>
      <c r="B279" s="16" t="inlineStr">
        <is>
          <t>124057</t>
        </is>
      </c>
      <c r="C279" s="17" t="inlineStr">
        <is>
          <t>BOURNE EDOUARD</t>
        </is>
      </c>
      <c r="D279" s="17" t="inlineStr">
        <is>
          <t>PAEA PK 23 C/MONT 98711 PAEA</t>
        </is>
      </c>
      <c r="E279" s="17" t="inlineStr">
        <is>
          <t>Patenté (Personne Physique)</t>
        </is>
      </c>
      <c r="F279" s="17" t="inlineStr">
        <is>
          <t>Patenté</t>
        </is>
      </c>
      <c r="G279" s="16" t="inlineStr">
        <is>
          <t>1623Z</t>
        </is>
      </c>
      <c r="H279" s="16" t="inlineStr">
        <is>
          <t>M</t>
        </is>
      </c>
      <c r="I279" s="17" t="inlineStr">
        <is>
          <t>Métiers &amp; Artisanat</t>
        </is>
      </c>
      <c r="J279" s="18" t="n">
        <v>0</v>
      </c>
      <c r="K279" s="18" t="n">
        <v>1</v>
      </c>
      <c r="L279" s="17" t="inlineStr">
        <is>
          <t>13307 A</t>
        </is>
      </c>
      <c r="M279" s="17" t="inlineStr">
        <is>
          <t>M BOURNE EDOUARD</t>
        </is>
      </c>
      <c r="N279" s="17" t="inlineStr">
        <is>
          <t>Chef d entreprise</t>
        </is>
      </c>
      <c r="O279" s="18" t="inlineStr">
        <is>
          <t>7736</t>
        </is>
      </c>
    </row>
    <row r="280" ht="20" customHeight="1">
      <c r="A280" s="13" t="inlineStr">
        <is>
          <t>PAEA-CCISM-0279</t>
        </is>
      </c>
      <c r="B280" s="13" t="inlineStr">
        <is>
          <t>919985</t>
        </is>
      </c>
      <c r="C280" s="14" t="inlineStr">
        <is>
          <t>BOUTILLIER MATTHIEU</t>
        </is>
      </c>
      <c r="D280" s="14" t="inlineStr">
        <is>
          <t>SERV PAPEHUE 98711 PAEA</t>
        </is>
      </c>
      <c r="E280" s="14" t="inlineStr">
        <is>
          <t>Patenté (Personne Physique)</t>
        </is>
      </c>
      <c r="F280" s="14" t="inlineStr">
        <is>
          <t>Patenté</t>
        </is>
      </c>
      <c r="G280" s="13" t="inlineStr">
        <is>
          <t>8130Z</t>
        </is>
      </c>
      <c r="H280" s="13" t="inlineStr">
        <is>
          <t>M</t>
        </is>
      </c>
      <c r="I280" s="14" t="inlineStr">
        <is>
          <t>Métiers &amp; Artisanat</t>
        </is>
      </c>
      <c r="J280" s="15" t="n">
        <v>0</v>
      </c>
      <c r="K280" s="15" t="n">
        <v>1</v>
      </c>
      <c r="L280" s="14" t="inlineStr">
        <is>
          <t>09 1575 A</t>
        </is>
      </c>
      <c r="M280" s="14" t="inlineStr">
        <is>
          <t>M BOUTILLIER MATTHIEU</t>
        </is>
      </c>
      <c r="N280" s="14" t="inlineStr">
        <is>
          <t>Chef d entreprise</t>
        </is>
      </c>
      <c r="O280" s="15" t="inlineStr">
        <is>
          <t>7745</t>
        </is>
      </c>
    </row>
    <row r="281" ht="20" customHeight="1">
      <c r="A281" s="16" t="inlineStr">
        <is>
          <t>PAEA-CCISM-0280</t>
        </is>
      </c>
      <c r="B281" s="16" t="inlineStr">
        <is>
          <t>E37158</t>
        </is>
      </c>
      <c r="C281" s="17" t="inlineStr">
        <is>
          <t>BOY MICHAEL</t>
        </is>
      </c>
      <c r="D281" s="17" t="inlineStr">
        <is>
          <t>SERV DAUPHIN LOT G2 98711 PAEA</t>
        </is>
      </c>
      <c r="E281" s="17" t="inlineStr">
        <is>
          <t>Patenté (Personne Physique)</t>
        </is>
      </c>
      <c r="F281" s="17" t="inlineStr">
        <is>
          <t>Patenté</t>
        </is>
      </c>
      <c r="G281" s="16" t="inlineStr">
        <is>
          <t>4322B</t>
        </is>
      </c>
      <c r="H281" s="16" t="inlineStr">
        <is>
          <t>M</t>
        </is>
      </c>
      <c r="I281" s="17" t="inlineStr">
        <is>
          <t>Métiers &amp; Artisanat</t>
        </is>
      </c>
      <c r="J281" s="18" t="n">
        <v>0</v>
      </c>
      <c r="K281" s="18" t="n">
        <v>1</v>
      </c>
      <c r="L281" s="17" t="inlineStr">
        <is>
          <t>21 1988 A</t>
        </is>
      </c>
      <c r="M281" s="17" t="inlineStr">
        <is>
          <t>M BOY MICHAEL</t>
        </is>
      </c>
      <c r="N281" s="17" t="inlineStr">
        <is>
          <t>Chef d entreprise</t>
        </is>
      </c>
      <c r="O281" s="18" t="inlineStr">
        <is>
          <t>7755</t>
        </is>
      </c>
    </row>
    <row r="282" ht="20" customHeight="1">
      <c r="A282" s="13" t="inlineStr">
        <is>
          <t>PAEA-CCISM-0281</t>
        </is>
      </c>
      <c r="B282" s="13" t="inlineStr">
        <is>
          <t>899740</t>
        </is>
      </c>
      <c r="C282" s="14" t="inlineStr">
        <is>
          <t>BRANDER NEE LENOIR MARGOT</t>
        </is>
      </c>
      <c r="D282" s="14" t="inlineStr">
        <is>
          <t>RTE LOTISSEMENT TEHAUPARU LOT CPS N.28 98711 PAEA</t>
        </is>
      </c>
      <c r="E282" s="14" t="inlineStr">
        <is>
          <t>Patenté (Personne Physique)</t>
        </is>
      </c>
      <c r="F282" s="14" t="inlineStr">
        <is>
          <t>Patenté</t>
        </is>
      </c>
      <c r="G282" s="13" t="inlineStr">
        <is>
          <t>1413Z</t>
        </is>
      </c>
      <c r="H282" s="13" t="inlineStr">
        <is>
          <t>M</t>
        </is>
      </c>
      <c r="I282" s="14" t="inlineStr">
        <is>
          <t>Métiers &amp; Artisanat</t>
        </is>
      </c>
      <c r="J282" s="15" t="n">
        <v>0</v>
      </c>
      <c r="K282" s="15" t="n">
        <v>1</v>
      </c>
      <c r="L282" s="14" t="inlineStr">
        <is>
          <t>14 1257 A</t>
        </is>
      </c>
      <c r="M282" s="14" t="inlineStr">
        <is>
          <t>Mme LENOIR MARGOT</t>
        </is>
      </c>
      <c r="N282" s="14" t="inlineStr">
        <is>
          <t>Chef d entreprise</t>
        </is>
      </c>
      <c r="O282" s="15" t="inlineStr">
        <is>
          <t>7764</t>
        </is>
      </c>
    </row>
    <row r="283" ht="20" customHeight="1">
      <c r="A283" s="16" t="inlineStr">
        <is>
          <t>PAEA-CCISM-0282</t>
        </is>
      </c>
      <c r="B283" s="16" t="inlineStr">
        <is>
          <t>F02051</t>
        </is>
      </c>
      <c r="C283" s="17" t="inlineStr">
        <is>
          <t>BRASSERIE MANU URA</t>
        </is>
      </c>
      <c r="D283" s="17" t="inlineStr">
        <is>
          <t>VALLÉE VAITUPA PK 24 98711 PAEA</t>
        </is>
      </c>
      <c r="E283" s="17" t="inlineStr">
        <is>
          <t>SAS</t>
        </is>
      </c>
      <c r="F283" s="17" t="inlineStr">
        <is>
          <t>Société</t>
        </is>
      </c>
      <c r="G283" s="16" t="inlineStr">
        <is>
          <t>1105Z</t>
        </is>
      </c>
      <c r="H283" s="16" t="inlineStr">
        <is>
          <t>M</t>
        </is>
      </c>
      <c r="I283" s="17" t="inlineStr">
        <is>
          <t>Métiers &amp; Artisanat</t>
        </is>
      </c>
      <c r="J283" s="18" t="n">
        <v>0</v>
      </c>
      <c r="K283" s="18" t="n">
        <v>1</v>
      </c>
      <c r="L283" s="17" t="inlineStr">
        <is>
          <t>23 54 B</t>
        </is>
      </c>
      <c r="M283" s="17" t="inlineStr">
        <is>
          <t>M BERNADINO FELIX</t>
        </is>
      </c>
      <c r="N283" s="17" t="inlineStr">
        <is>
          <t>Président de SAS</t>
        </is>
      </c>
      <c r="O283" s="18" t="inlineStr">
        <is>
          <t>7769</t>
        </is>
      </c>
    </row>
    <row r="284" ht="20" customHeight="1">
      <c r="A284" s="13" t="inlineStr">
        <is>
          <t>PAEA-CCISM-0283</t>
        </is>
      </c>
      <c r="B284" s="13" t="inlineStr">
        <is>
          <t>B30267</t>
        </is>
      </c>
      <c r="C284" s="14" t="inlineStr">
        <is>
          <t>BRETON AURELIE</t>
        </is>
      </c>
      <c r="D284" s="14" t="inlineStr">
        <is>
          <t>98711 PAEA</t>
        </is>
      </c>
      <c r="E284" s="14" t="inlineStr">
        <is>
          <t>Patenté (Personne Physique)</t>
        </is>
      </c>
      <c r="F284" s="14" t="inlineStr">
        <is>
          <t>Patenté</t>
        </is>
      </c>
      <c r="G284" s="13" t="inlineStr">
        <is>
          <t>4334Z</t>
        </is>
      </c>
      <c r="H284" s="13" t="inlineStr">
        <is>
          <t>M</t>
        </is>
      </c>
      <c r="I284" s="14" t="inlineStr">
        <is>
          <t>Métiers &amp; Artisanat</t>
        </is>
      </c>
      <c r="J284" s="15" t="n">
        <v>0</v>
      </c>
      <c r="K284" s="15" t="n">
        <v>1</v>
      </c>
      <c r="L284" s="14" t="inlineStr">
        <is>
          <t>14 2306 A</t>
        </is>
      </c>
      <c r="M284" s="14" t="inlineStr">
        <is>
          <t>Mme BRETON AURELIE</t>
        </is>
      </c>
      <c r="N284" s="14" t="inlineStr">
        <is>
          <t>Chef d entreprise</t>
        </is>
      </c>
      <c r="O284" s="15" t="inlineStr">
        <is>
          <t>7780</t>
        </is>
      </c>
    </row>
    <row r="285" ht="20" customHeight="1">
      <c r="A285" s="16" t="inlineStr">
        <is>
          <t>PAEA-CCISM-0284</t>
        </is>
      </c>
      <c r="B285" s="16" t="inlineStr">
        <is>
          <t>B61973</t>
        </is>
      </c>
      <c r="C285" s="17" t="inlineStr">
        <is>
          <t>BRILLANT REKINA</t>
        </is>
      </c>
      <c r="D285" s="17" t="inlineStr">
        <is>
          <t>SERVITUDE BRILLANT 98711 PAEA</t>
        </is>
      </c>
      <c r="E285" s="17" t="inlineStr">
        <is>
          <t>Patenté (Personne Physique)</t>
        </is>
      </c>
      <c r="F285" s="17" t="inlineStr">
        <is>
          <t>Patenté</t>
        </is>
      </c>
      <c r="G285" s="16" t="inlineStr">
        <is>
          <t>9602B</t>
        </is>
      </c>
      <c r="H285" s="16" t="inlineStr">
        <is>
          <t>M</t>
        </is>
      </c>
      <c r="I285" s="17" t="inlineStr">
        <is>
          <t>Métiers &amp; Artisanat</t>
        </is>
      </c>
      <c r="J285" s="18" t="n">
        <v>0</v>
      </c>
      <c r="K285" s="18" t="n">
        <v>1</v>
      </c>
      <c r="L285" s="17" t="inlineStr">
        <is>
          <t>15 1960 A</t>
        </is>
      </c>
      <c r="M285" s="17" t="inlineStr">
        <is>
          <t>Mme BRILLANT REKINA</t>
        </is>
      </c>
      <c r="N285" s="17" t="inlineStr">
        <is>
          <t>Chef d entreprise</t>
        </is>
      </c>
      <c r="O285" s="18" t="inlineStr">
        <is>
          <t>7789</t>
        </is>
      </c>
    </row>
    <row r="286" ht="20" customHeight="1">
      <c r="A286" s="13" t="inlineStr">
        <is>
          <t>PAEA-CCISM-0285</t>
        </is>
      </c>
      <c r="B286" s="13" t="inlineStr">
        <is>
          <t>E10627</t>
        </is>
      </c>
      <c r="C286" s="14" t="inlineStr">
        <is>
          <t>BRINCKFIELDT KEN</t>
        </is>
      </c>
      <c r="D286" s="14" t="inlineStr">
        <is>
          <t>PK 22 CT/MONT BP 330257 98711 PAEA</t>
        </is>
      </c>
      <c r="E286" s="14" t="inlineStr">
        <is>
          <t>Patenté (Personne Physique)</t>
        </is>
      </c>
      <c r="F286" s="14" t="inlineStr">
        <is>
          <t>Patenté</t>
        </is>
      </c>
      <c r="G286" s="13" t="inlineStr">
        <is>
          <t>4321A</t>
        </is>
      </c>
      <c r="H286" s="13" t="inlineStr">
        <is>
          <t>M</t>
        </is>
      </c>
      <c r="I286" s="14" t="inlineStr">
        <is>
          <t>Métiers &amp; Artisanat</t>
        </is>
      </c>
      <c r="J286" s="15" t="n">
        <v>0</v>
      </c>
      <c r="K286" s="15" t="n">
        <v>1</v>
      </c>
      <c r="L286" s="14" t="inlineStr">
        <is>
          <t>21 305 A</t>
        </is>
      </c>
      <c r="M286" s="14" t="inlineStr">
        <is>
          <t>M BRINCKFIELDT KEN</t>
        </is>
      </c>
      <c r="N286" s="14" t="inlineStr">
        <is>
          <t>Chef d entreprise</t>
        </is>
      </c>
      <c r="O286" s="15" t="inlineStr">
        <is>
          <t>7793</t>
        </is>
      </c>
    </row>
    <row r="287" ht="20" customHeight="1">
      <c r="A287" s="16" t="inlineStr">
        <is>
          <t>PAEA-CCISM-0286</t>
        </is>
      </c>
      <c r="B287" s="16" t="inlineStr">
        <is>
          <t>D14705</t>
        </is>
      </c>
      <c r="C287" s="17" t="inlineStr">
        <is>
          <t>BRIS CYRIL, GHISLAIN</t>
        </is>
      </c>
      <c r="D287" s="17" t="inlineStr">
        <is>
          <t>29 RTE DU LOTISSEMENT BALDWIN 98711 PAEA</t>
        </is>
      </c>
      <c r="E287" s="17" t="inlineStr">
        <is>
          <t>Patenté (Personne Physique)</t>
        </is>
      </c>
      <c r="F287" s="17" t="inlineStr">
        <is>
          <t>Patenté</t>
        </is>
      </c>
      <c r="G287" s="16" t="inlineStr">
        <is>
          <t>4339Z</t>
        </is>
      </c>
      <c r="H287" s="16" t="inlineStr">
        <is>
          <t>M</t>
        </is>
      </c>
      <c r="I287" s="17" t="inlineStr">
        <is>
          <t>Métiers &amp; Artisanat</t>
        </is>
      </c>
      <c r="J287" s="18" t="n">
        <v>0</v>
      </c>
      <c r="K287" s="18" t="n">
        <v>1</v>
      </c>
      <c r="L287" s="17" t="inlineStr">
        <is>
          <t>19 362 A</t>
        </is>
      </c>
      <c r="M287" s="17" t="inlineStr">
        <is>
          <t>M BRIS CYRIL, GHISLAIN</t>
        </is>
      </c>
      <c r="N287" s="17" t="inlineStr">
        <is>
          <t>Chef d entreprise</t>
        </is>
      </c>
      <c r="O287" s="18" t="inlineStr">
        <is>
          <t>7794</t>
        </is>
      </c>
    </row>
    <row r="288" ht="20" customHeight="1">
      <c r="A288" s="13" t="inlineStr">
        <is>
          <t>PAEA-CCISM-0287</t>
        </is>
      </c>
      <c r="B288" s="13" t="inlineStr">
        <is>
          <t>G04493</t>
        </is>
      </c>
      <c r="C288" s="14" t="inlineStr">
        <is>
          <t>BROTHERS RODOLPHE, MANUARII</t>
        </is>
      </c>
      <c r="D288" s="14" t="inlineStr">
        <is>
          <t>OROFERO AU FOND 98711 PAEA</t>
        </is>
      </c>
      <c r="E288" s="14" t="inlineStr">
        <is>
          <t>Patenté (Personne Physique)</t>
        </is>
      </c>
      <c r="F288" s="14" t="inlineStr">
        <is>
          <t>Patenté</t>
        </is>
      </c>
      <c r="G288" s="13" t="inlineStr">
        <is>
          <t>4321A</t>
        </is>
      </c>
      <c r="H288" s="13" t="inlineStr">
        <is>
          <t>M</t>
        </is>
      </c>
      <c r="I288" s="14" t="inlineStr">
        <is>
          <t>Métiers &amp; Artisanat</t>
        </is>
      </c>
      <c r="J288" s="15" t="n">
        <v>0</v>
      </c>
      <c r="K288" s="15" t="n">
        <v>1</v>
      </c>
      <c r="L288" s="14" t="inlineStr">
        <is>
          <t>25 9 A</t>
        </is>
      </c>
      <c r="M288" s="14" t="inlineStr">
        <is>
          <t>M BROTHERS RODOLPHE, MANUARII</t>
        </is>
      </c>
      <c r="N288" s="14" t="inlineStr">
        <is>
          <t>Chef d entreprise</t>
        </is>
      </c>
      <c r="O288" s="15" t="inlineStr">
        <is>
          <t>7825</t>
        </is>
      </c>
    </row>
    <row r="289" ht="20" customHeight="1">
      <c r="A289" s="16" t="inlineStr">
        <is>
          <t>PAEA-CCISM-0288</t>
        </is>
      </c>
      <c r="B289" s="16" t="inlineStr">
        <is>
          <t>E76479</t>
        </is>
      </c>
      <c r="C289" s="17" t="inlineStr">
        <is>
          <t>BROTHERS STEEVE</t>
        </is>
      </c>
      <c r="D289" s="17" t="inlineStr">
        <is>
          <t>98711 PAEA</t>
        </is>
      </c>
      <c r="E289" s="17" t="inlineStr">
        <is>
          <t>Patenté (Personne Physique)</t>
        </is>
      </c>
      <c r="F289" s="17" t="inlineStr">
        <is>
          <t>Patenté</t>
        </is>
      </c>
      <c r="G289" s="16" t="inlineStr">
        <is>
          <t>3312Z</t>
        </is>
      </c>
      <c r="H289" s="16" t="inlineStr">
        <is>
          <t>M</t>
        </is>
      </c>
      <c r="I289" s="17" t="inlineStr">
        <is>
          <t>Métiers &amp; Artisanat</t>
        </is>
      </c>
      <c r="J289" s="18" t="n">
        <v>0</v>
      </c>
      <c r="K289" s="18" t="n">
        <v>1</v>
      </c>
      <c r="L289" s="17" t="inlineStr">
        <is>
          <t>22 1095 A</t>
        </is>
      </c>
      <c r="M289" s="17" t="inlineStr">
        <is>
          <t>Mme BROTHERS STEEVE</t>
        </is>
      </c>
      <c r="N289" s="17" t="inlineStr">
        <is>
          <t>Chef d entreprise</t>
        </is>
      </c>
      <c r="O289" s="18" t="inlineStr">
        <is>
          <t>7826</t>
        </is>
      </c>
    </row>
    <row r="290" ht="20" customHeight="1">
      <c r="A290" s="13" t="inlineStr">
        <is>
          <t>PAEA-CCISM-0289</t>
        </is>
      </c>
      <c r="B290" s="13" t="inlineStr">
        <is>
          <t>B34962</t>
        </is>
      </c>
      <c r="C290" s="14" t="inlineStr">
        <is>
          <t>BROTHERS TUNUI ANDERSON</t>
        </is>
      </c>
      <c r="D290" s="14" t="inlineStr">
        <is>
          <t>VAL DE OROFERO SERVITUDE RAIPAI 98711 PAEA</t>
        </is>
      </c>
      <c r="E290" s="14" t="inlineStr">
        <is>
          <t>Patenté (Personne Physique)</t>
        </is>
      </c>
      <c r="F290" s="14" t="inlineStr">
        <is>
          <t>Patenté</t>
        </is>
      </c>
      <c r="G290" s="13" t="inlineStr">
        <is>
          <t>4339Z</t>
        </is>
      </c>
      <c r="H290" s="13" t="inlineStr">
        <is>
          <t>M</t>
        </is>
      </c>
      <c r="I290" s="14" t="inlineStr">
        <is>
          <t>Métiers &amp; Artisanat</t>
        </is>
      </c>
      <c r="J290" s="15" t="n">
        <v>0</v>
      </c>
      <c r="K290" s="15" t="n">
        <v>1</v>
      </c>
      <c r="L290" s="14" t="inlineStr">
        <is>
          <t>18 912 A</t>
        </is>
      </c>
      <c r="M290" s="14" t="inlineStr">
        <is>
          <t>M BROTHERS TUNUI ANDERSON</t>
        </is>
      </c>
      <c r="N290" s="14" t="inlineStr">
        <is>
          <t>Chef d entreprise</t>
        </is>
      </c>
      <c r="O290" s="15" t="inlineStr">
        <is>
          <t>7829</t>
        </is>
      </c>
    </row>
    <row r="291" ht="20" customHeight="1">
      <c r="A291" s="16" t="inlineStr">
        <is>
          <t>PAEA-CCISM-0290</t>
        </is>
      </c>
      <c r="B291" s="16" t="inlineStr">
        <is>
          <t>963017</t>
        </is>
      </c>
      <c r="C291" s="17" t="inlineStr">
        <is>
          <t>BROUSON GUILHEM</t>
        </is>
      </c>
      <c r="D291" s="17" t="inlineStr">
        <is>
          <t>SERVITUDE TIARE AITO 98711 PAEA</t>
        </is>
      </c>
      <c r="E291" s="17" t="inlineStr">
        <is>
          <t>Patenté (Personne Physique)</t>
        </is>
      </c>
      <c r="F291" s="17" t="inlineStr">
        <is>
          <t>Patenté</t>
        </is>
      </c>
      <c r="G291" s="16" t="inlineStr">
        <is>
          <t>4339Z</t>
        </is>
      </c>
      <c r="H291" s="16" t="inlineStr">
        <is>
          <t>M</t>
        </is>
      </c>
      <c r="I291" s="17" t="inlineStr">
        <is>
          <t>Métiers &amp; Artisanat</t>
        </is>
      </c>
      <c r="J291" s="18" t="n">
        <v>0</v>
      </c>
      <c r="K291" s="18" t="n">
        <v>1</v>
      </c>
      <c r="L291" s="17" t="inlineStr">
        <is>
          <t>19 2533 A</t>
        </is>
      </c>
      <c r="M291" s="17" t="inlineStr">
        <is>
          <t>M BROUSSON GUILHEM</t>
        </is>
      </c>
      <c r="N291" s="17" t="inlineStr">
        <is>
          <t>Chef d entreprise</t>
        </is>
      </c>
      <c r="O291" s="18" t="inlineStr">
        <is>
          <t>7836</t>
        </is>
      </c>
    </row>
    <row r="292" ht="20" customHeight="1">
      <c r="A292" s="13" t="inlineStr">
        <is>
          <t>PAEA-CCISM-0291</t>
        </is>
      </c>
      <c r="B292" s="13" t="inlineStr">
        <is>
          <t>961177</t>
        </is>
      </c>
      <c r="C292" s="14" t="inlineStr">
        <is>
          <t>BUCHIN ENOCH</t>
        </is>
      </c>
      <c r="D292" s="14" t="inlineStr">
        <is>
          <t>PAEA PK 21.100 C/MONT - RESID.TEHANI A 98711 PAEA</t>
        </is>
      </c>
      <c r="E292" s="14" t="inlineStr">
        <is>
          <t>Patenté (Personne Physique)</t>
        </is>
      </c>
      <c r="F292" s="14" t="inlineStr">
        <is>
          <t>Patenté</t>
        </is>
      </c>
      <c r="G292" s="13" t="inlineStr">
        <is>
          <t>4339Z</t>
        </is>
      </c>
      <c r="H292" s="13" t="inlineStr">
        <is>
          <t>M</t>
        </is>
      </c>
      <c r="I292" s="14" t="inlineStr">
        <is>
          <t>Métiers &amp; Artisanat</t>
        </is>
      </c>
      <c r="J292" s="15" t="n">
        <v>0</v>
      </c>
      <c r="K292" s="15" t="n">
        <v>1</v>
      </c>
      <c r="L292" s="14" t="inlineStr">
        <is>
          <t>10 1640 A</t>
        </is>
      </c>
      <c r="M292" s="14" t="inlineStr">
        <is>
          <t>M BUCHIN ENOCH</t>
        </is>
      </c>
      <c r="N292" s="14" t="inlineStr">
        <is>
          <t>Chef d entreprise</t>
        </is>
      </c>
      <c r="O292" s="15" t="inlineStr">
        <is>
          <t>7876</t>
        </is>
      </c>
    </row>
    <row r="293" ht="20" customHeight="1">
      <c r="A293" s="16" t="inlineStr">
        <is>
          <t>PAEA-CCISM-0292</t>
        </is>
      </c>
      <c r="B293" s="16" t="inlineStr">
        <is>
          <t>712190</t>
        </is>
      </c>
      <c r="C293" s="17" t="inlineStr">
        <is>
          <t>BUTSCHER NEE RICHMOND VAIHI LEONORA</t>
        </is>
      </c>
      <c r="D293" s="17" t="inlineStr">
        <is>
          <t>LOTISSEMENT BOURNE LOT N 18 98711 PAEA</t>
        </is>
      </c>
      <c r="E293" s="17" t="inlineStr">
        <is>
          <t>Patenté (Personne Physique)</t>
        </is>
      </c>
      <c r="F293" s="17" t="inlineStr">
        <is>
          <t>Patenté</t>
        </is>
      </c>
      <c r="G293" s="16" t="inlineStr">
        <is>
          <t>9602A</t>
        </is>
      </c>
      <c r="H293" s="16" t="inlineStr">
        <is>
          <t>M</t>
        </is>
      </c>
      <c r="I293" s="17" t="inlineStr">
        <is>
          <t>Métiers &amp; Artisanat</t>
        </is>
      </c>
      <c r="J293" s="18" t="n">
        <v>1</v>
      </c>
      <c r="K293" s="18" t="n">
        <v>1</v>
      </c>
      <c r="L293" s="17" t="inlineStr">
        <is>
          <t>19 313 A</t>
        </is>
      </c>
      <c r="M293" s="17" t="inlineStr">
        <is>
          <t>Mme BUTSCHER (Née RICHMOND) VAIHI LEONORA</t>
        </is>
      </c>
      <c r="N293" s="17" t="inlineStr">
        <is>
          <t>Chef d entreprise</t>
        </is>
      </c>
      <c r="O293" s="18" t="inlineStr">
        <is>
          <t>7919</t>
        </is>
      </c>
    </row>
    <row r="294" ht="20" customHeight="1">
      <c r="A294" s="13" t="inlineStr">
        <is>
          <t>PAEA-CCISM-0293</t>
        </is>
      </c>
      <c r="B294" s="13" t="inlineStr">
        <is>
          <t>741926</t>
        </is>
      </c>
      <c r="C294" s="14" t="inlineStr">
        <is>
          <t>CADOUSTEAU JACQUES-MARIE TAMATARIRI</t>
        </is>
      </c>
      <c r="D294" s="14" t="inlineStr">
        <is>
          <t>PAEA PK 20 C/MONT - CADOUSTEAU 98711 PAEA</t>
        </is>
      </c>
      <c r="E294" s="14" t="inlineStr">
        <is>
          <t>Patenté (Personne Physique)</t>
        </is>
      </c>
      <c r="F294" s="14" t="inlineStr">
        <is>
          <t>Patenté</t>
        </is>
      </c>
      <c r="G294" s="13" t="inlineStr">
        <is>
          <t>8130Z</t>
        </is>
      </c>
      <c r="H294" s="13" t="inlineStr">
        <is>
          <t>M</t>
        </is>
      </c>
      <c r="I294" s="14" t="inlineStr">
        <is>
          <t>Métiers &amp; Artisanat</t>
        </is>
      </c>
      <c r="J294" s="15" t="n">
        <v>0</v>
      </c>
      <c r="K294" s="15" t="n">
        <v>1</v>
      </c>
      <c r="L294" s="14" t="inlineStr">
        <is>
          <t>05 1020 A</t>
        </is>
      </c>
      <c r="M294" s="14" t="inlineStr">
        <is>
          <t>M CADOUSTEAU JACQUES-MARIE TAMATARIRI</t>
        </is>
      </c>
      <c r="N294" s="14" t="inlineStr">
        <is>
          <t>Chef d entreprise</t>
        </is>
      </c>
      <c r="O294" s="15" t="inlineStr">
        <is>
          <t>7935</t>
        </is>
      </c>
    </row>
    <row r="295" ht="20" customHeight="1">
      <c r="A295" s="16" t="inlineStr">
        <is>
          <t>PAEA-CCISM-0294</t>
        </is>
      </c>
      <c r="B295" s="16" t="inlineStr">
        <is>
          <t>D84500</t>
        </is>
      </c>
      <c r="C295" s="17" t="inlineStr">
        <is>
          <t>CANOVAS PAUL</t>
        </is>
      </c>
      <c r="D295" s="17" t="inlineStr">
        <is>
          <t>QTR TEARAFATA 98711 PAEA</t>
        </is>
      </c>
      <c r="E295" s="17" t="inlineStr">
        <is>
          <t>Patenté (Personne Physique)</t>
        </is>
      </c>
      <c r="F295" s="17" t="inlineStr">
        <is>
          <t>Patenté</t>
        </is>
      </c>
      <c r="G295" s="16" t="inlineStr">
        <is>
          <t>4291Z</t>
        </is>
      </c>
      <c r="H295" s="16" t="inlineStr">
        <is>
          <t>M</t>
        </is>
      </c>
      <c r="I295" s="17" t="inlineStr">
        <is>
          <t>Métiers &amp; Artisanat</t>
        </is>
      </c>
      <c r="J295" s="18" t="n">
        <v>0</v>
      </c>
      <c r="K295" s="18" t="n">
        <v>1</v>
      </c>
      <c r="L295" s="17" t="inlineStr">
        <is>
          <t>21 2215 A</t>
        </is>
      </c>
      <c r="M295" s="17" t="inlineStr">
        <is>
          <t>M CANOVAS PAUL</t>
        </is>
      </c>
      <c r="N295" s="17" t="inlineStr">
        <is>
          <t>Chef d entreprise</t>
        </is>
      </c>
      <c r="O295" s="18" t="inlineStr">
        <is>
          <t>7965</t>
        </is>
      </c>
    </row>
    <row r="296" ht="20" customHeight="1">
      <c r="A296" s="13" t="inlineStr">
        <is>
          <t>PAEA-CCISM-0295</t>
        </is>
      </c>
      <c r="B296" s="13" t="inlineStr">
        <is>
          <t>125575</t>
        </is>
      </c>
      <c r="C296" s="14" t="inlineStr">
        <is>
          <t>CARAMELLI FRANCOIS</t>
        </is>
      </c>
      <c r="D296" s="14" t="inlineStr">
        <is>
          <t>PAEA PK 22.600 C/MONT - MAHATIA RAI 98711 PAEA</t>
        </is>
      </c>
      <c r="E296" s="14" t="inlineStr">
        <is>
          <t>Patenté (Personne Physique)</t>
        </is>
      </c>
      <c r="F296" s="14" t="inlineStr">
        <is>
          <t>Patenté</t>
        </is>
      </c>
      <c r="G296" s="13" t="inlineStr">
        <is>
          <t>8130Z</t>
        </is>
      </c>
      <c r="H296" s="13" t="inlineStr">
        <is>
          <t>M</t>
        </is>
      </c>
      <c r="I296" s="14" t="inlineStr">
        <is>
          <t>Métiers &amp; Artisanat</t>
        </is>
      </c>
      <c r="J296" s="15" t="n">
        <v>0</v>
      </c>
      <c r="K296" s="15" t="n">
        <v>1</v>
      </c>
      <c r="L296" s="14" t="inlineStr">
        <is>
          <t>05 72 A</t>
        </is>
      </c>
      <c r="M296" s="14" t="inlineStr">
        <is>
          <t>M CARAMELLI FRANCOIS MICHEL</t>
        </is>
      </c>
      <c r="N296" s="14" t="inlineStr">
        <is>
          <t>Chef d entreprise</t>
        </is>
      </c>
      <c r="O296" s="15" t="inlineStr">
        <is>
          <t>7972</t>
        </is>
      </c>
    </row>
    <row r="297" ht="20" customHeight="1">
      <c r="A297" s="16" t="inlineStr">
        <is>
          <t>PAEA-CCISM-0296</t>
        </is>
      </c>
      <c r="B297" s="16" t="inlineStr">
        <is>
          <t>A10121</t>
        </is>
      </c>
      <c r="C297" s="17" t="inlineStr">
        <is>
          <t>CAUSSARIEUX PIERRE-HENRI</t>
        </is>
      </c>
      <c r="D297" s="17" t="inlineStr">
        <is>
          <t>PAEA PK 19.500 C/MONT 98711 PAEA</t>
        </is>
      </c>
      <c r="E297" s="17" t="inlineStr">
        <is>
          <t>Patenté (Personne Physique)</t>
        </is>
      </c>
      <c r="F297" s="17" t="inlineStr">
        <is>
          <t>Patenté</t>
        </is>
      </c>
      <c r="G297" s="16" t="inlineStr">
        <is>
          <t>8130Z</t>
        </is>
      </c>
      <c r="H297" s="16" t="inlineStr">
        <is>
          <t>M</t>
        </is>
      </c>
      <c r="I297" s="17" t="inlineStr">
        <is>
          <t>Métiers &amp; Artisanat</t>
        </is>
      </c>
      <c r="J297" s="18" t="n">
        <v>1</v>
      </c>
      <c r="K297" s="18" t="n">
        <v>1</v>
      </c>
      <c r="L297" s="17" t="inlineStr">
        <is>
          <t>12 10 A</t>
        </is>
      </c>
      <c r="M297" s="17" t="inlineStr">
        <is>
          <t>M CAUSSARIEUX PIERRE-HENRI</t>
        </is>
      </c>
      <c r="N297" s="17" t="inlineStr">
        <is>
          <t>Chef d entreprise</t>
        </is>
      </c>
      <c r="O297" s="18" t="inlineStr">
        <is>
          <t>8008</t>
        </is>
      </c>
    </row>
    <row r="298" ht="20" customHeight="1">
      <c r="A298" s="13" t="inlineStr">
        <is>
          <t>PAEA-CCISM-0297</t>
        </is>
      </c>
      <c r="B298" s="13" t="inlineStr">
        <is>
          <t>C47459</t>
        </is>
      </c>
      <c r="C298" s="14" t="inlineStr">
        <is>
          <t>CEPPI CHARLES CHRISTOPHE</t>
        </is>
      </c>
      <c r="D298" s="14" t="inlineStr">
        <is>
          <t>QUARTIER SAGE - OROFERO 98711 PAEA</t>
        </is>
      </c>
      <c r="E298" s="14" t="inlineStr">
        <is>
          <t>Patenté (Personne Physique)</t>
        </is>
      </c>
      <c r="F298" s="14" t="inlineStr">
        <is>
          <t>Patenté</t>
        </is>
      </c>
      <c r="G298" s="13" t="inlineStr">
        <is>
          <t>3230Z</t>
        </is>
      </c>
      <c r="H298" s="13" t="inlineStr">
        <is>
          <t>M</t>
        </is>
      </c>
      <c r="I298" s="14" t="inlineStr">
        <is>
          <t>Métiers &amp; Artisanat</t>
        </is>
      </c>
      <c r="J298" s="15" t="n">
        <v>0</v>
      </c>
      <c r="K298" s="15" t="n">
        <v>1</v>
      </c>
      <c r="L298" s="14" t="inlineStr">
        <is>
          <t>17 1896 A</t>
        </is>
      </c>
      <c r="M298" s="14" t="inlineStr">
        <is>
          <t>M CEPPI CHARLES CHRISTOPHE</t>
        </is>
      </c>
      <c r="N298" s="14" t="inlineStr">
        <is>
          <t>Chef d entreprise</t>
        </is>
      </c>
      <c r="O298" s="15" t="inlineStr">
        <is>
          <t>8019</t>
        </is>
      </c>
    </row>
    <row r="299" ht="20" customHeight="1">
      <c r="A299" s="16" t="inlineStr">
        <is>
          <t>PAEA-CCISM-0298</t>
        </is>
      </c>
      <c r="B299" s="16" t="inlineStr">
        <is>
          <t>G15754</t>
        </is>
      </c>
      <c r="C299" s="17" t="inlineStr">
        <is>
          <t>CHAIX ALEXANDRA</t>
        </is>
      </c>
      <c r="D299" s="17" t="inlineStr">
        <is>
          <t>VALLEE DE OROFERO PK 21.5 COTÉ MONTAGNE 98711 PAEA</t>
        </is>
      </c>
      <c r="E299" s="17" t="inlineStr">
        <is>
          <t>Patenté (Personne Physique)</t>
        </is>
      </c>
      <c r="F299" s="17" t="inlineStr">
        <is>
          <t>Patenté</t>
        </is>
      </c>
      <c r="G299" s="16" t="inlineStr">
        <is>
          <t>9602B</t>
        </is>
      </c>
      <c r="H299" s="16" t="inlineStr">
        <is>
          <t>M</t>
        </is>
      </c>
      <c r="I299" s="17" t="inlineStr">
        <is>
          <t>Métiers &amp; Artisanat</t>
        </is>
      </c>
      <c r="J299" s="18" t="n">
        <v>0</v>
      </c>
      <c r="K299" s="18" t="n">
        <v>1</v>
      </c>
      <c r="L299" s="17" t="inlineStr">
        <is>
          <t>25 583 A</t>
        </is>
      </c>
      <c r="M299" s="17" t="inlineStr">
        <is>
          <t>Mme CHAIX ALEXANDRA</t>
        </is>
      </c>
      <c r="N299" s="17" t="inlineStr">
        <is>
          <t>Chef d entreprise</t>
        </is>
      </c>
      <c r="O299" s="18" t="inlineStr">
        <is>
          <t>8037</t>
        </is>
      </c>
    </row>
    <row r="300" ht="20" customHeight="1">
      <c r="A300" s="13" t="inlineStr">
        <is>
          <t>PAEA-CCISM-0299</t>
        </is>
      </c>
      <c r="B300" s="13" t="inlineStr">
        <is>
          <t>878017</t>
        </is>
      </c>
      <c r="C300" s="14" t="inlineStr">
        <is>
          <t>CHANG KUN SUNG EDWIN</t>
        </is>
      </c>
      <c r="D300" s="14" t="inlineStr">
        <is>
          <t>PAEA PK 22.300 C/MONT - BREMOND 98711 PAEA</t>
        </is>
      </c>
      <c r="E300" s="14" t="inlineStr">
        <is>
          <t>Patenté (Personne Physique)</t>
        </is>
      </c>
      <c r="F300" s="14" t="inlineStr">
        <is>
          <t>Patenté</t>
        </is>
      </c>
      <c r="G300" s="13" t="inlineStr">
        <is>
          <t>4339Z</t>
        </is>
      </c>
      <c r="H300" s="13" t="inlineStr">
        <is>
          <t>M</t>
        </is>
      </c>
      <c r="I300" s="14" t="inlineStr">
        <is>
          <t>Métiers &amp; Artisanat</t>
        </is>
      </c>
      <c r="J300" s="15" t="n">
        <v>0</v>
      </c>
      <c r="K300" s="15" t="n">
        <v>1</v>
      </c>
      <c r="L300" s="14" t="inlineStr">
        <is>
          <t>08 1551 A</t>
        </is>
      </c>
      <c r="M300" s="14" t="inlineStr">
        <is>
          <t>M CHANG KUN SUNG EDWIN</t>
        </is>
      </c>
      <c r="N300" s="14" t="inlineStr">
        <is>
          <t>Chef d entreprise</t>
        </is>
      </c>
      <c r="O300" s="15" t="inlineStr">
        <is>
          <t>8075</t>
        </is>
      </c>
    </row>
    <row r="301" ht="20" customHeight="1">
      <c r="A301" s="16" t="inlineStr">
        <is>
          <t>PAEA-CCISM-0300</t>
        </is>
      </c>
      <c r="B301" s="16" t="inlineStr">
        <is>
          <t>F12951</t>
        </is>
      </c>
      <c r="C301" s="17" t="inlineStr">
        <is>
          <t>CHAPMAN JÉRÉMIE</t>
        </is>
      </c>
      <c r="D301" s="17" t="inlineStr">
        <is>
          <t>PK 24 COTÉ MONTAGNE 98711 PAEA</t>
        </is>
      </c>
      <c r="E301" s="17" t="inlineStr">
        <is>
          <t>Patenté (Personne Physique)</t>
        </is>
      </c>
      <c r="F301" s="17" t="inlineStr">
        <is>
          <t>Patenté</t>
        </is>
      </c>
      <c r="G301" s="16" t="inlineStr">
        <is>
          <t>8130Z</t>
        </is>
      </c>
      <c r="H301" s="16" t="inlineStr">
        <is>
          <t>M</t>
        </is>
      </c>
      <c r="I301" s="17" t="inlineStr">
        <is>
          <t>Métiers &amp; Artisanat</t>
        </is>
      </c>
      <c r="J301" s="18" t="n">
        <v>0</v>
      </c>
      <c r="K301" s="18" t="n">
        <v>1</v>
      </c>
      <c r="L301" s="17" t="inlineStr">
        <is>
          <t>23 1124 A</t>
        </is>
      </c>
      <c r="M301" s="17" t="inlineStr">
        <is>
          <t>M CHAPMAN JÉRÉMIE</t>
        </is>
      </c>
      <c r="N301" s="17" t="inlineStr">
        <is>
          <t>Chef d entreprise</t>
        </is>
      </c>
      <c r="O301" s="18" t="inlineStr">
        <is>
          <t>8112</t>
        </is>
      </c>
    </row>
    <row r="302" ht="20" customHeight="1">
      <c r="A302" s="13" t="inlineStr">
        <is>
          <t>PAEA-CCISM-0301</t>
        </is>
      </c>
      <c r="B302" s="13" t="inlineStr">
        <is>
          <t>821280</t>
        </is>
      </c>
      <c r="C302" s="14" t="inlineStr">
        <is>
          <t>CHAPMAN NICK</t>
        </is>
      </c>
      <c r="D302" s="14" t="inlineStr">
        <is>
          <t>PROPRIÉTÉ CHAPMAN LOT 4 BIS LOT 2 CADASTRÉ SECTION AN N° 301 98711 PAEA</t>
        </is>
      </c>
      <c r="E302" s="14" t="inlineStr">
        <is>
          <t>Patenté (Personne Physique)</t>
        </is>
      </c>
      <c r="F302" s="14" t="inlineStr">
        <is>
          <t>Patenté</t>
        </is>
      </c>
      <c r="G302" s="13" t="inlineStr">
        <is>
          <t>8130Z</t>
        </is>
      </c>
      <c r="H302" s="13" t="inlineStr">
        <is>
          <t>M</t>
        </is>
      </c>
      <c r="I302" s="14" t="inlineStr">
        <is>
          <t>Métiers &amp; Artisanat</t>
        </is>
      </c>
      <c r="J302" s="15" t="n">
        <v>0</v>
      </c>
      <c r="K302" s="15" t="n">
        <v>1</v>
      </c>
      <c r="L302" s="14" t="inlineStr">
        <is>
          <t>24 792 A</t>
        </is>
      </c>
      <c r="M302" s="14" t="inlineStr">
        <is>
          <t>M CHAPMAN NICK</t>
        </is>
      </c>
      <c r="N302" s="14" t="inlineStr">
        <is>
          <t>Chef d entreprise</t>
        </is>
      </c>
      <c r="O302" s="15" t="inlineStr">
        <is>
          <t>8118</t>
        </is>
      </c>
    </row>
    <row r="303" ht="20" customHeight="1">
      <c r="A303" s="16" t="inlineStr">
        <is>
          <t>PAEA-CCISM-0302</t>
        </is>
      </c>
      <c r="B303" s="16" t="inlineStr">
        <is>
          <t>F60810</t>
        </is>
      </c>
      <c r="C303" s="17" t="inlineStr">
        <is>
          <t>CHAUMINE FRANCOIS</t>
        </is>
      </c>
      <c r="D303" s="17" t="inlineStr">
        <is>
          <t>LOT 10 RES PAPEHUE 98711 PAEA</t>
        </is>
      </c>
      <c r="E303" s="17" t="inlineStr">
        <is>
          <t>Patenté (Personne Physique)</t>
        </is>
      </c>
      <c r="F303" s="17" t="inlineStr">
        <is>
          <t>Patenté</t>
        </is>
      </c>
      <c r="G303" s="16" t="inlineStr">
        <is>
          <t>1071D</t>
        </is>
      </c>
      <c r="H303" s="16" t="inlineStr">
        <is>
          <t>M</t>
        </is>
      </c>
      <c r="I303" s="17" t="inlineStr">
        <is>
          <t>Métiers &amp; Artisanat</t>
        </is>
      </c>
      <c r="J303" s="18" t="n">
        <v>0</v>
      </c>
      <c r="K303" s="18" t="n">
        <v>1</v>
      </c>
      <c r="L303" s="17" t="inlineStr">
        <is>
          <t>23 3094 A</t>
        </is>
      </c>
      <c r="M303" s="17" t="inlineStr">
        <is>
          <t>M CHAUMINE FRANCOIS</t>
        </is>
      </c>
      <c r="N303" s="17" t="inlineStr">
        <is>
          <t>Chef d entreprise</t>
        </is>
      </c>
      <c r="O303" s="18" t="inlineStr">
        <is>
          <t>8142</t>
        </is>
      </c>
    </row>
    <row r="304" ht="20" customHeight="1">
      <c r="A304" s="13" t="inlineStr">
        <is>
          <t>PAEA-CCISM-0303</t>
        </is>
      </c>
      <c r="B304" s="13" t="inlineStr">
        <is>
          <t>D05257</t>
        </is>
      </c>
      <c r="C304" s="14" t="inlineStr">
        <is>
          <t>CHAUVET MALCOLM EDMOND</t>
        </is>
      </c>
      <c r="D304" s="14" t="inlineStr">
        <is>
          <t>98711 PAEA</t>
        </is>
      </c>
      <c r="E304" s="14" t="inlineStr">
        <is>
          <t>Patenté (Personne Physique)</t>
        </is>
      </c>
      <c r="F304" s="14" t="inlineStr">
        <is>
          <t>Patenté</t>
        </is>
      </c>
      <c r="G304" s="13" t="inlineStr">
        <is>
          <t>3299Z</t>
        </is>
      </c>
      <c r="H304" s="13" t="inlineStr">
        <is>
          <t>M</t>
        </is>
      </c>
      <c r="I304" s="14" t="inlineStr">
        <is>
          <t>Métiers &amp; Artisanat</t>
        </is>
      </c>
      <c r="J304" s="15" t="n">
        <v>0</v>
      </c>
      <c r="K304" s="15" t="n">
        <v>1</v>
      </c>
      <c r="L304" s="14" t="inlineStr">
        <is>
          <t>18 2911 A</t>
        </is>
      </c>
      <c r="M304" s="14" t="inlineStr">
        <is>
          <t>M CHAUVET MALCOLM EDMOND</t>
        </is>
      </c>
      <c r="N304" s="14" t="inlineStr">
        <is>
          <t>Chef d entreprise</t>
        </is>
      </c>
      <c r="O304" s="15" t="inlineStr">
        <is>
          <t>8149</t>
        </is>
      </c>
    </row>
    <row r="305" ht="20" customHeight="1">
      <c r="A305" s="16" t="inlineStr">
        <is>
          <t>PAEA-CCISM-0304</t>
        </is>
      </c>
      <c r="B305" s="16" t="inlineStr">
        <is>
          <t>B64902</t>
        </is>
      </c>
      <c r="C305" s="17" t="inlineStr">
        <is>
          <t>CHEUNG HEIARII</t>
        </is>
      </c>
      <c r="D305" s="17" t="inlineStr">
        <is>
          <t>98711 PAEA</t>
        </is>
      </c>
      <c r="E305" s="17" t="inlineStr">
        <is>
          <t>Patenté (Personne Physique)</t>
        </is>
      </c>
      <c r="F305" s="17" t="inlineStr">
        <is>
          <t>Patenté</t>
        </is>
      </c>
      <c r="G305" s="16" t="inlineStr">
        <is>
          <t>8130Z</t>
        </is>
      </c>
      <c r="H305" s="16" t="inlineStr">
        <is>
          <t>M</t>
        </is>
      </c>
      <c r="I305" s="17" t="inlineStr">
        <is>
          <t>Métiers &amp; Artisanat</t>
        </is>
      </c>
      <c r="J305" s="18" t="n">
        <v>0</v>
      </c>
      <c r="K305" s="18" t="n">
        <v>1</v>
      </c>
      <c r="L305" s="17" t="inlineStr">
        <is>
          <t>15 2162 A</t>
        </is>
      </c>
      <c r="M305" s="17" t="inlineStr">
        <is>
          <t>M CHEUNG HEIARII</t>
        </is>
      </c>
      <c r="N305" s="17" t="inlineStr">
        <is>
          <t>Chef d entreprise</t>
        </is>
      </c>
      <c r="O305" s="18" t="inlineStr">
        <is>
          <t>8184</t>
        </is>
      </c>
    </row>
    <row r="306" ht="20" customHeight="1">
      <c r="A306" s="13" t="inlineStr">
        <is>
          <t>PAEA-CCISM-0305</t>
        </is>
      </c>
      <c r="B306" s="13" t="inlineStr">
        <is>
          <t>545509</t>
        </is>
      </c>
      <c r="C306" s="14" t="inlineStr">
        <is>
          <t>CHEUNG JEAN</t>
        </is>
      </c>
      <c r="D306" s="14" t="inlineStr">
        <is>
          <t>PAEA PK 20.800 C/MONT 98711 PAEA</t>
        </is>
      </c>
      <c r="E306" s="14" t="inlineStr">
        <is>
          <t>Patenté (Personne Physique)</t>
        </is>
      </c>
      <c r="F306" s="14" t="inlineStr">
        <is>
          <t>Patenté</t>
        </is>
      </c>
      <c r="G306" s="13" t="inlineStr">
        <is>
          <t>8130Z</t>
        </is>
      </c>
      <c r="H306" s="13" t="inlineStr">
        <is>
          <t>M</t>
        </is>
      </c>
      <c r="I306" s="14" t="inlineStr">
        <is>
          <t>Métiers &amp; Artisanat</t>
        </is>
      </c>
      <c r="J306" s="15" t="n">
        <v>0</v>
      </c>
      <c r="K306" s="15" t="n">
        <v>1</v>
      </c>
      <c r="L306" s="14" t="inlineStr">
        <is>
          <t>36831 A</t>
        </is>
      </c>
      <c r="M306" s="14" t="inlineStr">
        <is>
          <t>M CHEUNG JEAN CLAUDE</t>
        </is>
      </c>
      <c r="N306" s="14" t="inlineStr">
        <is>
          <t>Chef d entreprise</t>
        </is>
      </c>
      <c r="O306" s="15" t="inlineStr">
        <is>
          <t>8185</t>
        </is>
      </c>
    </row>
    <row r="307" ht="20" customHeight="1">
      <c r="A307" s="16" t="inlineStr">
        <is>
          <t>PAEA-CCISM-0306</t>
        </is>
      </c>
      <c r="B307" s="16" t="inlineStr">
        <is>
          <t>F61172</t>
        </is>
      </c>
      <c r="C307" s="17" t="inlineStr">
        <is>
          <t>CHEUNG NEE JEHEL NATHALIE</t>
        </is>
      </c>
      <c r="D307" s="17" t="inlineStr">
        <is>
          <t>PAPEHUE 98711 PAEA</t>
        </is>
      </c>
      <c r="E307" s="17" t="inlineStr">
        <is>
          <t>Patenté (Personne Physique)</t>
        </is>
      </c>
      <c r="F307" s="17" t="inlineStr">
        <is>
          <t>Patenté</t>
        </is>
      </c>
      <c r="G307" s="16" t="inlineStr">
        <is>
          <t>1071D</t>
        </is>
      </c>
      <c r="H307" s="16" t="inlineStr">
        <is>
          <t>M</t>
        </is>
      </c>
      <c r="I307" s="17" t="inlineStr">
        <is>
          <t>Métiers &amp; Artisanat</t>
        </is>
      </c>
      <c r="J307" s="18" t="n">
        <v>0</v>
      </c>
      <c r="K307" s="18" t="n">
        <v>1</v>
      </c>
      <c r="L307" s="17" t="inlineStr">
        <is>
          <t>23 3089 A</t>
        </is>
      </c>
      <c r="M307" s="17" t="inlineStr">
        <is>
          <t>Mme CHEUNG (Née JEHEL) NATHALIE</t>
        </is>
      </c>
      <c r="N307" s="17" t="inlineStr">
        <is>
          <t>Chef d entreprise</t>
        </is>
      </c>
      <c r="O307" s="18" t="inlineStr">
        <is>
          <t>8187</t>
        </is>
      </c>
    </row>
    <row r="308" ht="20" customHeight="1">
      <c r="A308" s="13" t="inlineStr">
        <is>
          <t>PAEA-CCISM-0307</t>
        </is>
      </c>
      <c r="B308" s="13" t="inlineStr">
        <is>
          <t>462549</t>
        </is>
      </c>
      <c r="C308" s="14" t="inlineStr">
        <is>
          <t>CHEUNG NEE ROBSON MEREANA</t>
        </is>
      </c>
      <c r="D308" s="14" t="inlineStr">
        <is>
          <t>98711 PAEA</t>
        </is>
      </c>
      <c r="E308" s="14" t="inlineStr">
        <is>
          <t>Patenté (Personne Physique)</t>
        </is>
      </c>
      <c r="F308" s="14" t="inlineStr">
        <is>
          <t>Patenté</t>
        </is>
      </c>
      <c r="G308" s="13" t="inlineStr">
        <is>
          <t>2370Z</t>
        </is>
      </c>
      <c r="H308" s="13" t="inlineStr">
        <is>
          <t>M</t>
        </is>
      </c>
      <c r="I308" s="14" t="inlineStr">
        <is>
          <t>Métiers &amp; Artisanat</t>
        </is>
      </c>
      <c r="J308" s="15" t="n">
        <v>0</v>
      </c>
      <c r="K308" s="15" t="n">
        <v>1</v>
      </c>
      <c r="L308" s="14" t="inlineStr">
        <is>
          <t>14 20 A</t>
        </is>
      </c>
      <c r="M308" s="14" t="inlineStr">
        <is>
          <t>Mme CHEUNG (Née ROBSON) MEREANA</t>
        </is>
      </c>
      <c r="N308" s="14" t="inlineStr">
        <is>
          <t>Chef d entreprise</t>
        </is>
      </c>
      <c r="O308" s="15" t="inlineStr">
        <is>
          <t>8188</t>
        </is>
      </c>
    </row>
    <row r="309" ht="20" customHeight="1">
      <c r="A309" s="16" t="inlineStr">
        <is>
          <t>PAEA-CCISM-0308</t>
        </is>
      </c>
      <c r="B309" s="16" t="inlineStr">
        <is>
          <t>A99488</t>
        </is>
      </c>
      <c r="C309" s="17" t="inlineStr">
        <is>
          <t>CHEWTCHOUK LIONEL</t>
        </is>
      </c>
      <c r="D309" s="17" t="inlineStr">
        <is>
          <t>SERVITUDE FAGNEAUX 98711 PAEA</t>
        </is>
      </c>
      <c r="E309" s="17" t="inlineStr">
        <is>
          <t>Patenté (Personne Physique)</t>
        </is>
      </c>
      <c r="F309" s="17" t="inlineStr">
        <is>
          <t>Patenté</t>
        </is>
      </c>
      <c r="G309" s="16" t="inlineStr">
        <is>
          <t>7420Z</t>
        </is>
      </c>
      <c r="H309" s="16" t="inlineStr">
        <is>
          <t>M</t>
        </is>
      </c>
      <c r="I309" s="17" t="inlineStr">
        <is>
          <t>Métiers &amp; Artisanat</t>
        </is>
      </c>
      <c r="J309" s="18" t="n">
        <v>0</v>
      </c>
      <c r="K309" s="18" t="n">
        <v>1</v>
      </c>
      <c r="L309" s="17" t="inlineStr">
        <is>
          <t>21 1802 A</t>
        </is>
      </c>
      <c r="M309" s="17" t="inlineStr">
        <is>
          <t>M CHEWTCHOUK LIONEL</t>
        </is>
      </c>
      <c r="N309" s="17" t="inlineStr">
        <is>
          <t>Chef d entreprise</t>
        </is>
      </c>
      <c r="O309" s="18" t="inlineStr">
        <is>
          <t>8203</t>
        </is>
      </c>
    </row>
    <row r="310" ht="20" customHeight="1">
      <c r="A310" s="13" t="inlineStr">
        <is>
          <t>PAEA-CCISM-0309</t>
        </is>
      </c>
      <c r="B310" s="13" t="inlineStr">
        <is>
          <t>994376</t>
        </is>
      </c>
      <c r="C310" s="14" t="inlineStr">
        <is>
          <t>CHEZ DUOC</t>
        </is>
      </c>
      <c r="D310" s="14" t="inlineStr">
        <is>
          <t>PAEA PK 21.500 C/MONT 98711 PAEA</t>
        </is>
      </c>
      <c r="E310" s="14" t="inlineStr">
        <is>
          <t>SARL</t>
        </is>
      </c>
      <c r="F310" s="14" t="inlineStr">
        <is>
          <t>Société</t>
        </is>
      </c>
      <c r="G310" s="13" t="inlineStr">
        <is>
          <t>1085Z</t>
        </is>
      </c>
      <c r="H310" s="13" t="inlineStr">
        <is>
          <t>M</t>
        </is>
      </c>
      <c r="I310" s="14" t="inlineStr">
        <is>
          <t>Métiers &amp; Artisanat</t>
        </is>
      </c>
      <c r="J310" s="15" t="n">
        <v>4</v>
      </c>
      <c r="K310" s="15" t="n">
        <v>1</v>
      </c>
      <c r="L310" s="14" t="inlineStr">
        <is>
          <t>11 209 B</t>
        </is>
      </c>
      <c r="M310" s="14" t="inlineStr">
        <is>
          <t>Mme DO TRANH VAN</t>
        </is>
      </c>
      <c r="N310" s="14" t="inlineStr"/>
      <c r="O310" s="15" t="inlineStr">
        <is>
          <t>8204</t>
        </is>
      </c>
    </row>
    <row r="311" ht="20" customHeight="1">
      <c r="A311" s="16" t="inlineStr">
        <is>
          <t>PAEA-CCISM-0310</t>
        </is>
      </c>
      <c r="B311" s="16" t="inlineStr">
        <is>
          <t>278911</t>
        </is>
      </c>
      <c r="C311" s="17" t="inlineStr">
        <is>
          <t>CHIN JEAN-PIERRE</t>
        </is>
      </c>
      <c r="D311" s="17" t="inlineStr">
        <is>
          <t>PAEA PK 23.4 C/MONT 98711 PAEA</t>
        </is>
      </c>
      <c r="E311" s="17" t="inlineStr">
        <is>
          <t>Patenté (Personne Physique)</t>
        </is>
      </c>
      <c r="F311" s="17" t="inlineStr">
        <is>
          <t>Patenté</t>
        </is>
      </c>
      <c r="G311" s="16" t="inlineStr">
        <is>
          <t>4321A</t>
        </is>
      </c>
      <c r="H311" s="16" t="inlineStr">
        <is>
          <t>M</t>
        </is>
      </c>
      <c r="I311" s="17" t="inlineStr">
        <is>
          <t>Métiers &amp; Artisanat</t>
        </is>
      </c>
      <c r="J311" s="18" t="n">
        <v>0</v>
      </c>
      <c r="K311" s="18" t="n">
        <v>1</v>
      </c>
      <c r="L311" s="17" t="inlineStr"/>
      <c r="M311" s="17" t="inlineStr">
        <is>
          <t>21060 A</t>
        </is>
      </c>
      <c r="N311" s="17" t="inlineStr"/>
      <c r="O311" s="18" t="inlineStr"/>
    </row>
    <row r="312" ht="20" customHeight="1">
      <c r="A312" s="13" t="inlineStr">
        <is>
          <t>PAEA-CCISM-0311</t>
        </is>
      </c>
      <c r="B312" s="13" t="inlineStr">
        <is>
          <t>896928</t>
        </is>
      </c>
      <c r="C312" s="14" t="inlineStr">
        <is>
          <t>CHIN LOY BILL HERENUI JAMES</t>
        </is>
      </c>
      <c r="D312" s="14" t="inlineStr">
        <is>
          <t>PAEA PK 22.8 C/MONT - LOT BALDWIN 98711 PAEA</t>
        </is>
      </c>
      <c r="E312" s="14" t="inlineStr">
        <is>
          <t>Patenté (Personne Physique)</t>
        </is>
      </c>
      <c r="F312" s="14" t="inlineStr">
        <is>
          <t>Patenté</t>
        </is>
      </c>
      <c r="G312" s="13" t="inlineStr">
        <is>
          <t>4339Z</t>
        </is>
      </c>
      <c r="H312" s="13" t="inlineStr">
        <is>
          <t>M</t>
        </is>
      </c>
      <c r="I312" s="14" t="inlineStr">
        <is>
          <t>Métiers &amp; Artisanat</t>
        </is>
      </c>
      <c r="J312" s="15" t="n">
        <v>0</v>
      </c>
      <c r="K312" s="15" t="n">
        <v>1</v>
      </c>
      <c r="L312" s="14" t="inlineStr">
        <is>
          <t>09 341 A</t>
        </is>
      </c>
      <c r="M312" s="14" t="inlineStr">
        <is>
          <t>M CHIN LOY BILL HERENUI JAMES</t>
        </is>
      </c>
      <c r="N312" s="14" t="inlineStr">
        <is>
          <t>Chef d entreprise</t>
        </is>
      </c>
      <c r="O312" s="15" t="inlineStr">
        <is>
          <t>8220</t>
        </is>
      </c>
    </row>
    <row r="313" ht="20" customHeight="1">
      <c r="A313" s="16" t="inlineStr">
        <is>
          <t>PAEA-CCISM-0312</t>
        </is>
      </c>
      <c r="B313" s="16" t="inlineStr">
        <is>
          <t>659953</t>
        </is>
      </c>
      <c r="C313" s="17" t="inlineStr">
        <is>
          <t>CHIN LOY PIERRE MOKO TEUIAVAHIANI</t>
        </is>
      </c>
      <c r="D313" s="17" t="inlineStr">
        <is>
          <t>PAEA PK 18.500 C/MONT 98711 PAEA</t>
        </is>
      </c>
      <c r="E313" s="17" t="inlineStr">
        <is>
          <t>Patenté (Personne Physique)</t>
        </is>
      </c>
      <c r="F313" s="17" t="inlineStr">
        <is>
          <t>Patenté</t>
        </is>
      </c>
      <c r="G313" s="16" t="inlineStr">
        <is>
          <t>4120B</t>
        </is>
      </c>
      <c r="H313" s="16" t="inlineStr">
        <is>
          <t>M</t>
        </is>
      </c>
      <c r="I313" s="17" t="inlineStr">
        <is>
          <t>Métiers &amp; Artisanat</t>
        </is>
      </c>
      <c r="J313" s="18" t="n">
        <v>0</v>
      </c>
      <c r="K313" s="18" t="n">
        <v>1</v>
      </c>
      <c r="L313" s="17" t="inlineStr">
        <is>
          <t>43092 A</t>
        </is>
      </c>
      <c r="M313" s="17" t="inlineStr">
        <is>
          <t>M CHIN LOY PIERRE MOKO TEUIAVAHIANI</t>
        </is>
      </c>
      <c r="N313" s="17" t="inlineStr">
        <is>
          <t>Chef d entreprise</t>
        </is>
      </c>
      <c r="O313" s="18" t="inlineStr">
        <is>
          <t>8222</t>
        </is>
      </c>
    </row>
    <row r="314" ht="20" customHeight="1">
      <c r="A314" s="13" t="inlineStr">
        <is>
          <t>PAEA-CCISM-0313</t>
        </is>
      </c>
      <c r="B314" s="13" t="inlineStr">
        <is>
          <t>F35374</t>
        </is>
      </c>
      <c r="C314" s="14" t="inlineStr">
        <is>
          <t>CHING-BELLAIS SAMUEL</t>
        </is>
      </c>
      <c r="D314" s="14" t="inlineStr">
        <is>
          <t>LOT 19 LOTISSEMENT TE PUHAPA 98711 PAEA</t>
        </is>
      </c>
      <c r="E314" s="14" t="inlineStr">
        <is>
          <t>Patenté (Personne Physique)</t>
        </is>
      </c>
      <c r="F314" s="14" t="inlineStr">
        <is>
          <t>Patenté</t>
        </is>
      </c>
      <c r="G314" s="13" t="inlineStr">
        <is>
          <t>4312B</t>
        </is>
      </c>
      <c r="H314" s="13" t="inlineStr">
        <is>
          <t>M</t>
        </is>
      </c>
      <c r="I314" s="14" t="inlineStr">
        <is>
          <t>Métiers &amp; Artisanat</t>
        </is>
      </c>
      <c r="J314" s="15" t="n">
        <v>0</v>
      </c>
      <c r="K314" s="15" t="n">
        <v>1</v>
      </c>
      <c r="L314" s="14" t="inlineStr">
        <is>
          <t>23 1593 A</t>
        </is>
      </c>
      <c r="M314" s="14" t="inlineStr">
        <is>
          <t>M CHING-BELLAIS SAMUEL</t>
        </is>
      </c>
      <c r="N314" s="14" t="inlineStr">
        <is>
          <t>Chef d entreprise</t>
        </is>
      </c>
      <c r="O314" s="15" t="inlineStr">
        <is>
          <t>8234</t>
        </is>
      </c>
    </row>
    <row r="315" ht="20" customHeight="1">
      <c r="A315" s="16" t="inlineStr">
        <is>
          <t>PAEA-CCISM-0314</t>
        </is>
      </c>
      <c r="B315" s="16" t="inlineStr">
        <is>
          <t>202374</t>
        </is>
      </c>
      <c r="C315" s="17" t="inlineStr">
        <is>
          <t>CHISAKA NEE KIRIKAVA RUTH</t>
        </is>
      </c>
      <c r="D315" s="17" t="inlineStr">
        <is>
          <t>PAEA PK 24.200 C/MONT - TEFANA 98711 PAEA</t>
        </is>
      </c>
      <c r="E315" s="17" t="inlineStr">
        <is>
          <t>Patenté (Personne Physique)</t>
        </is>
      </c>
      <c r="F315" s="17" t="inlineStr">
        <is>
          <t>Patenté</t>
        </is>
      </c>
      <c r="G315" s="16" t="inlineStr">
        <is>
          <t>4932Z</t>
        </is>
      </c>
      <c r="H315" s="16" t="inlineStr">
        <is>
          <t>M</t>
        </is>
      </c>
      <c r="I315" s="17" t="inlineStr">
        <is>
          <t>Métiers &amp; Artisanat</t>
        </is>
      </c>
      <c r="J315" s="18" t="n">
        <v>0</v>
      </c>
      <c r="K315" s="18" t="n">
        <v>1</v>
      </c>
      <c r="L315" s="17" t="inlineStr">
        <is>
          <t>11 1054 A</t>
        </is>
      </c>
      <c r="M315" s="17" t="inlineStr">
        <is>
          <t>Mme CHISAKA (Née KIRIKAVA) RUTH</t>
        </is>
      </c>
      <c r="N315" s="17" t="inlineStr">
        <is>
          <t>Chef d entreprise</t>
        </is>
      </c>
      <c r="O315" s="18" t="inlineStr">
        <is>
          <t>8239</t>
        </is>
      </c>
    </row>
    <row r="316" ht="20" customHeight="1">
      <c r="A316" s="13" t="inlineStr">
        <is>
          <t>PAEA-CCISM-0315</t>
        </is>
      </c>
      <c r="B316" s="13" t="inlineStr">
        <is>
          <t>B04072</t>
        </is>
      </c>
      <c r="C316" s="14" t="inlineStr">
        <is>
          <t>CHOUNG FAT OLIVIA</t>
        </is>
      </c>
      <c r="D316" s="14" t="inlineStr">
        <is>
          <t>SERVITUDE ANAHOA 98711 PAEA</t>
        </is>
      </c>
      <c r="E316" s="14" t="inlineStr">
        <is>
          <t>Patenté (Personne Physique)</t>
        </is>
      </c>
      <c r="F316" s="14" t="inlineStr">
        <is>
          <t>Patenté</t>
        </is>
      </c>
      <c r="G316" s="13" t="inlineStr">
        <is>
          <t>8121Z</t>
        </is>
      </c>
      <c r="H316" s="13" t="inlineStr">
        <is>
          <t>M</t>
        </is>
      </c>
      <c r="I316" s="14" t="inlineStr">
        <is>
          <t>Métiers &amp; Artisanat</t>
        </is>
      </c>
      <c r="J316" s="15" t="n">
        <v>0</v>
      </c>
      <c r="K316" s="15" t="n">
        <v>1</v>
      </c>
      <c r="L316" s="14" t="inlineStr">
        <is>
          <t>14 597 A</t>
        </is>
      </c>
      <c r="M316" s="14" t="inlineStr">
        <is>
          <t>Mme CHOUNG FAT OLIVIA</t>
        </is>
      </c>
      <c r="N316" s="14" t="inlineStr">
        <is>
          <t>Chef d entreprise</t>
        </is>
      </c>
      <c r="O316" s="15" t="inlineStr">
        <is>
          <t>8270</t>
        </is>
      </c>
    </row>
    <row r="317" ht="20" customHeight="1">
      <c r="A317" s="16" t="inlineStr">
        <is>
          <t>PAEA-CCISM-0316</t>
        </is>
      </c>
      <c r="B317" s="16" t="inlineStr">
        <is>
          <t>F33841</t>
        </is>
      </c>
      <c r="C317" s="17" t="inlineStr">
        <is>
          <t>CHUNG SEONG VALERIE</t>
        </is>
      </c>
      <c r="D317" s="17" t="inlineStr">
        <is>
          <t>N°358 TERRE VAITUPA-SECTION AN 98711 PAEA</t>
        </is>
      </c>
      <c r="E317" s="17" t="inlineStr">
        <is>
          <t>Patenté (Personne Physique)</t>
        </is>
      </c>
      <c r="F317" s="17" t="inlineStr">
        <is>
          <t>Patenté</t>
        </is>
      </c>
      <c r="G317" s="16" t="inlineStr">
        <is>
          <t>3319Z</t>
        </is>
      </c>
      <c r="H317" s="16" t="inlineStr">
        <is>
          <t>M</t>
        </is>
      </c>
      <c r="I317" s="17" t="inlineStr">
        <is>
          <t>Métiers &amp; Artisanat</t>
        </is>
      </c>
      <c r="J317" s="18" t="n">
        <v>0</v>
      </c>
      <c r="K317" s="18" t="n">
        <v>1</v>
      </c>
      <c r="L317" s="17" t="inlineStr">
        <is>
          <t>23 1504 A</t>
        </is>
      </c>
      <c r="M317" s="17" t="inlineStr">
        <is>
          <t>Mme CHUNG SEONG VALERIE</t>
        </is>
      </c>
      <c r="N317" s="17" t="inlineStr">
        <is>
          <t>Chef d entreprise</t>
        </is>
      </c>
      <c r="O317" s="18" t="inlineStr">
        <is>
          <t>8306</t>
        </is>
      </c>
    </row>
    <row r="318" ht="20" customHeight="1">
      <c r="A318" s="13" t="inlineStr">
        <is>
          <t>PAEA-CCISM-0317</t>
        </is>
      </c>
      <c r="B318" s="13" t="inlineStr">
        <is>
          <t>965939</t>
        </is>
      </c>
      <c r="C318" s="14" t="inlineStr">
        <is>
          <t>CHUNG TAM KENJI</t>
        </is>
      </c>
      <c r="D318" s="14" t="inlineStr">
        <is>
          <t>RTE DU LOTISSEMENT TIARE 98711 PAEA</t>
        </is>
      </c>
      <c r="E318" s="14" t="inlineStr">
        <is>
          <t>Patenté (Personne Physique)</t>
        </is>
      </c>
      <c r="F318" s="14" t="inlineStr">
        <is>
          <t>Patenté</t>
        </is>
      </c>
      <c r="G318" s="13" t="inlineStr">
        <is>
          <t>4321A</t>
        </is>
      </c>
      <c r="H318" s="13" t="inlineStr">
        <is>
          <t>M</t>
        </is>
      </c>
      <c r="I318" s="14" t="inlineStr">
        <is>
          <t>Métiers &amp; Artisanat</t>
        </is>
      </c>
      <c r="J318" s="15" t="n">
        <v>0</v>
      </c>
      <c r="K318" s="15" t="n">
        <v>1</v>
      </c>
      <c r="L318" s="14" t="inlineStr">
        <is>
          <t>15 2586 A</t>
        </is>
      </c>
      <c r="M318" s="14" t="inlineStr">
        <is>
          <t>M CHUNG TAM KENJI</t>
        </is>
      </c>
      <c r="N318" s="14" t="inlineStr">
        <is>
          <t>Chef d entreprise</t>
        </is>
      </c>
      <c r="O318" s="15" t="inlineStr">
        <is>
          <t>8315</t>
        </is>
      </c>
    </row>
    <row r="319" ht="20" customHeight="1">
      <c r="A319" s="16" t="inlineStr">
        <is>
          <t>PAEA-CCISM-0318</t>
        </is>
      </c>
      <c r="B319" s="16" t="inlineStr">
        <is>
          <t>F64861</t>
        </is>
      </c>
      <c r="C319" s="17" t="inlineStr">
        <is>
          <t>CLARK NEE TETUAITEROI GILIENDA</t>
        </is>
      </c>
      <c r="D319" s="17" t="inlineStr">
        <is>
          <t>PROPRIETE CADOUSTEAU PARCELLE AC-348 98711 PAEA</t>
        </is>
      </c>
      <c r="E319" s="17" t="inlineStr">
        <is>
          <t>Patenté (Personne Physique)</t>
        </is>
      </c>
      <c r="F319" s="17" t="inlineStr">
        <is>
          <t>Patenté</t>
        </is>
      </c>
      <c r="G319" s="16" t="inlineStr">
        <is>
          <t>3299Z</t>
        </is>
      </c>
      <c r="H319" s="16" t="inlineStr">
        <is>
          <t>M</t>
        </is>
      </c>
      <c r="I319" s="17" t="inlineStr">
        <is>
          <t>Métiers &amp; Artisanat</t>
        </is>
      </c>
      <c r="J319" s="18" t="n">
        <v>0</v>
      </c>
      <c r="K319" s="18" t="n">
        <v>1</v>
      </c>
      <c r="L319" s="17" t="inlineStr">
        <is>
          <t>23 3396 A</t>
        </is>
      </c>
      <c r="M319" s="17" t="inlineStr">
        <is>
          <t>Mme CLARK (Née TETUAITEROI) GILIENDA</t>
        </is>
      </c>
      <c r="N319" s="17" t="inlineStr">
        <is>
          <t>Chef d entreprise</t>
        </is>
      </c>
      <c r="O319" s="18" t="inlineStr">
        <is>
          <t>8343</t>
        </is>
      </c>
    </row>
    <row r="320" ht="20" customHeight="1">
      <c r="A320" s="13" t="inlineStr">
        <is>
          <t>PAEA-CCISM-0319</t>
        </is>
      </c>
      <c r="B320" s="13" t="inlineStr">
        <is>
          <t>E53155</t>
        </is>
      </c>
      <c r="C320" s="14" t="inlineStr">
        <is>
          <t>CLARK ROANI HEINUI</t>
        </is>
      </c>
      <c r="D320" s="14" t="inlineStr">
        <is>
          <t>SERVITUDE TEAHORO 98711 PAEA</t>
        </is>
      </c>
      <c r="E320" s="14" t="inlineStr">
        <is>
          <t>Patenté (Personne Physique)</t>
        </is>
      </c>
      <c r="F320" s="14" t="inlineStr">
        <is>
          <t>Patenté</t>
        </is>
      </c>
      <c r="G320" s="13" t="inlineStr">
        <is>
          <t>4339Z</t>
        </is>
      </c>
      <c r="H320" s="13" t="inlineStr">
        <is>
          <t>M</t>
        </is>
      </c>
      <c r="I320" s="14" t="inlineStr">
        <is>
          <t>Métiers &amp; Artisanat</t>
        </is>
      </c>
      <c r="J320" s="15" t="n">
        <v>0</v>
      </c>
      <c r="K320" s="15" t="n">
        <v>1</v>
      </c>
      <c r="L320" s="14" t="inlineStr">
        <is>
          <t>21 3088 A</t>
        </is>
      </c>
      <c r="M320" s="14" t="inlineStr">
        <is>
          <t>M CLARK ROANI HEINUI</t>
        </is>
      </c>
      <c r="N320" s="14" t="inlineStr">
        <is>
          <t>Chef d entreprise</t>
        </is>
      </c>
      <c r="O320" s="15" t="inlineStr">
        <is>
          <t>8346</t>
        </is>
      </c>
    </row>
    <row r="321" ht="20" customHeight="1">
      <c r="A321" s="16" t="inlineStr">
        <is>
          <t>PAEA-CCISM-0320</t>
        </is>
      </c>
      <c r="B321" s="16" t="inlineStr">
        <is>
          <t>676015</t>
        </is>
      </c>
      <c r="C321" s="17" t="inlineStr">
        <is>
          <t>CRIDLAND JEMINA TITAUA STELLA ROSMONDE</t>
        </is>
      </c>
      <c r="D321" s="17" t="inlineStr">
        <is>
          <t>PAEA PK 20.200 98711 PAEA</t>
        </is>
      </c>
      <c r="E321" s="17" t="inlineStr">
        <is>
          <t>Patenté (Personne Physique)</t>
        </is>
      </c>
      <c r="F321" s="17" t="inlineStr">
        <is>
          <t>Patenté</t>
        </is>
      </c>
      <c r="G321" s="16" t="inlineStr">
        <is>
          <t>9601B</t>
        </is>
      </c>
      <c r="H321" s="16" t="inlineStr">
        <is>
          <t>M</t>
        </is>
      </c>
      <c r="I321" s="17" t="inlineStr">
        <is>
          <t>Métiers &amp; Artisanat</t>
        </is>
      </c>
      <c r="J321" s="18" t="n">
        <v>0</v>
      </c>
      <c r="K321" s="18" t="n">
        <v>1</v>
      </c>
      <c r="L321" s="17" t="inlineStr">
        <is>
          <t>44060 A</t>
        </is>
      </c>
      <c r="M321" s="17" t="inlineStr">
        <is>
          <t>Mme CRIDLAND JEMINA TITAUA STELLA ROSMONDE</t>
        </is>
      </c>
      <c r="N321" s="17" t="inlineStr">
        <is>
          <t>Chef d entreprise</t>
        </is>
      </c>
      <c r="O321" s="18" t="inlineStr">
        <is>
          <t>8466</t>
        </is>
      </c>
    </row>
    <row r="322" ht="20" customHeight="1">
      <c r="A322" s="13" t="inlineStr">
        <is>
          <t>PAEA-CCISM-0321</t>
        </is>
      </c>
      <c r="B322" s="13" t="inlineStr">
        <is>
          <t>650127</t>
        </is>
      </c>
      <c r="C322" s="14" t="inlineStr">
        <is>
          <t>CROFT DE MARLOW ALEXANDER RICHARD</t>
        </is>
      </c>
      <c r="D322" s="14" t="inlineStr">
        <is>
          <t>PAEA PK 27.400 C/MER 98711 PAEA</t>
        </is>
      </c>
      <c r="E322" s="14" t="inlineStr">
        <is>
          <t>Patenté (Personne Physique)</t>
        </is>
      </c>
      <c r="F322" s="14" t="inlineStr">
        <is>
          <t>Patenté</t>
        </is>
      </c>
      <c r="G322" s="13" t="inlineStr">
        <is>
          <t>4339Z</t>
        </is>
      </c>
      <c r="H322" s="13" t="inlineStr">
        <is>
          <t>M</t>
        </is>
      </c>
      <c r="I322" s="14" t="inlineStr">
        <is>
          <t>Métiers &amp; Artisanat</t>
        </is>
      </c>
      <c r="J322" s="15" t="n">
        <v>0</v>
      </c>
      <c r="K322" s="15" t="n">
        <v>1</v>
      </c>
      <c r="L322" s="14" t="inlineStr">
        <is>
          <t>42494 A</t>
        </is>
      </c>
      <c r="M322" s="14" t="inlineStr">
        <is>
          <t>M CROFT DE MARLOW ALEXANDER RICHARD</t>
        </is>
      </c>
      <c r="N322" s="14" t="inlineStr">
        <is>
          <t>Chef d entreprise</t>
        </is>
      </c>
      <c r="O322" s="15" t="inlineStr">
        <is>
          <t>8470</t>
        </is>
      </c>
    </row>
    <row r="323" ht="20" customHeight="1">
      <c r="A323" s="16" t="inlineStr">
        <is>
          <t>PAEA-CCISM-0322</t>
        </is>
      </c>
      <c r="B323" s="16" t="inlineStr">
        <is>
          <t>C56971</t>
        </is>
      </c>
      <c r="C323" s="17" t="inlineStr">
        <is>
          <t>CROIX HEATHER</t>
        </is>
      </c>
      <c r="D323" s="17" t="inlineStr">
        <is>
          <t>PK 21.500 C/MONT À LA MAIRIE DE PAEA 98711 PAEA</t>
        </is>
      </c>
      <c r="E323" s="17" t="inlineStr">
        <is>
          <t>Patenté (Personne Physique)</t>
        </is>
      </c>
      <c r="F323" s="17" t="inlineStr">
        <is>
          <t>Patenté</t>
        </is>
      </c>
      <c r="G323" s="16" t="inlineStr">
        <is>
          <t>1071D</t>
        </is>
      </c>
      <c r="H323" s="16" t="inlineStr">
        <is>
          <t>M</t>
        </is>
      </c>
      <c r="I323" s="17" t="inlineStr">
        <is>
          <t>Métiers &amp; Artisanat</t>
        </is>
      </c>
      <c r="J323" s="18" t="n">
        <v>0</v>
      </c>
      <c r="K323" s="18" t="n">
        <v>1</v>
      </c>
      <c r="L323" s="17" t="inlineStr">
        <is>
          <t>22 3400 A</t>
        </is>
      </c>
      <c r="M323" s="17" t="inlineStr">
        <is>
          <t>Mme CROIX HEATHER</t>
        </is>
      </c>
      <c r="N323" s="17" t="inlineStr">
        <is>
          <t>Chef d entreprise</t>
        </is>
      </c>
      <c r="O323" s="18" t="inlineStr">
        <is>
          <t>8471</t>
        </is>
      </c>
    </row>
    <row r="324" ht="20" customHeight="1">
      <c r="A324" s="13" t="inlineStr">
        <is>
          <t>PAEA-CCISM-0323</t>
        </is>
      </c>
      <c r="B324" s="13" t="inlineStr">
        <is>
          <t>F50621</t>
        </is>
      </c>
      <c r="C324" s="14" t="inlineStr">
        <is>
          <t>CROMBEZ HIRINAKI</t>
        </is>
      </c>
      <c r="D324" s="14" t="inlineStr">
        <is>
          <t>(N°23) SERVITUDE AMATAHIAPO 98711 PAEA</t>
        </is>
      </c>
      <c r="E324" s="14" t="inlineStr">
        <is>
          <t>Patenté (Personne Physique)</t>
        </is>
      </c>
      <c r="F324" s="14" t="inlineStr">
        <is>
          <t>Patenté</t>
        </is>
      </c>
      <c r="G324" s="13" t="inlineStr">
        <is>
          <t>4339Z</t>
        </is>
      </c>
      <c r="H324" s="13" t="inlineStr">
        <is>
          <t>M</t>
        </is>
      </c>
      <c r="I324" s="14" t="inlineStr">
        <is>
          <t>Métiers &amp; Artisanat</t>
        </is>
      </c>
      <c r="J324" s="15" t="n">
        <v>0</v>
      </c>
      <c r="K324" s="15" t="n">
        <v>1</v>
      </c>
      <c r="L324" s="14" t="inlineStr">
        <is>
          <t>23 2391 A</t>
        </is>
      </c>
      <c r="M324" s="14" t="inlineStr">
        <is>
          <t>M CROMBEZ HIRINAKI</t>
        </is>
      </c>
      <c r="N324" s="14" t="inlineStr">
        <is>
          <t>Chef d entreprise</t>
        </is>
      </c>
      <c r="O324" s="15" t="inlineStr">
        <is>
          <t>8472</t>
        </is>
      </c>
    </row>
    <row r="325" ht="20" customHeight="1">
      <c r="A325" s="16" t="inlineStr">
        <is>
          <t>PAEA-CCISM-0324</t>
        </is>
      </c>
      <c r="B325" s="16" t="inlineStr">
        <is>
          <t>255687</t>
        </is>
      </c>
      <c r="C325" s="17" t="inlineStr">
        <is>
          <t>CROSS-MACHECOURT NEE CROSS RAMONA</t>
        </is>
      </c>
      <c r="D325" s="17" t="inlineStr">
        <is>
          <t>98711 PAEA</t>
        </is>
      </c>
      <c r="E325" s="17" t="inlineStr">
        <is>
          <t>Patenté (Personne Physique)</t>
        </is>
      </c>
      <c r="F325" s="17" t="inlineStr">
        <is>
          <t>Patenté</t>
        </is>
      </c>
      <c r="G325" s="16" t="inlineStr">
        <is>
          <t>3213Z</t>
        </is>
      </c>
      <c r="H325" s="16" t="inlineStr">
        <is>
          <t>M</t>
        </is>
      </c>
      <c r="I325" s="17" t="inlineStr">
        <is>
          <t>Métiers &amp; Artisanat</t>
        </is>
      </c>
      <c r="J325" s="18" t="n">
        <v>0</v>
      </c>
      <c r="K325" s="18" t="n">
        <v>1</v>
      </c>
      <c r="L325" s="17" t="inlineStr">
        <is>
          <t>17 2065 A</t>
        </is>
      </c>
      <c r="M325" s="17" t="inlineStr">
        <is>
          <t>Mme CROSS-MACHECOURT (Née CROSS) RAMONA</t>
        </is>
      </c>
      <c r="N325" s="17" t="inlineStr">
        <is>
          <t>Chef d entreprise</t>
        </is>
      </c>
      <c r="O325" s="18" t="inlineStr">
        <is>
          <t>8475</t>
        </is>
      </c>
    </row>
    <row r="326" ht="20" customHeight="1">
      <c r="A326" s="13" t="inlineStr">
        <is>
          <t>PAEA-CCISM-0325</t>
        </is>
      </c>
      <c r="B326" s="13" t="inlineStr">
        <is>
          <t>390633</t>
        </is>
      </c>
      <c r="C326" s="14" t="inlineStr">
        <is>
          <t>CUGNET MAURICE AMEDEE</t>
        </is>
      </c>
      <c r="D326" s="14" t="inlineStr">
        <is>
          <t>PAEA PK 23 C/MONT 98711 PAEA</t>
        </is>
      </c>
      <c r="E326" s="14" t="inlineStr">
        <is>
          <t>Patenté (Personne Physique)</t>
        </is>
      </c>
      <c r="F326" s="14" t="inlineStr">
        <is>
          <t>Patenté</t>
        </is>
      </c>
      <c r="G326" s="13" t="inlineStr">
        <is>
          <t>4339Z</t>
        </is>
      </c>
      <c r="H326" s="13" t="inlineStr">
        <is>
          <t>M</t>
        </is>
      </c>
      <c r="I326" s="14" t="inlineStr">
        <is>
          <t>Métiers &amp; Artisanat</t>
        </is>
      </c>
      <c r="J326" s="15" t="n">
        <v>0</v>
      </c>
      <c r="K326" s="15" t="n">
        <v>1</v>
      </c>
      <c r="L326" s="14" t="inlineStr">
        <is>
          <t>26793 A</t>
        </is>
      </c>
      <c r="M326" s="14" t="inlineStr">
        <is>
          <t>M CUGNET MAURICE AMEDEE</t>
        </is>
      </c>
      <c r="N326" s="14" t="inlineStr">
        <is>
          <t>Chef d entreprise</t>
        </is>
      </c>
      <c r="O326" s="15" t="inlineStr">
        <is>
          <t>8480</t>
        </is>
      </c>
    </row>
    <row r="327" ht="20" customHeight="1">
      <c r="A327" s="16" t="inlineStr">
        <is>
          <t>PAEA-CCISM-0326</t>
        </is>
      </c>
      <c r="B327" s="16" t="inlineStr">
        <is>
          <t>358200</t>
        </is>
      </c>
      <c r="C327" s="17" t="inlineStr">
        <is>
          <t>DAVID CHARLES</t>
        </is>
      </c>
      <c r="D327" s="17" t="inlineStr">
        <is>
          <t>98711 PAEA</t>
        </is>
      </c>
      <c r="E327" s="17" t="inlineStr">
        <is>
          <t>Patenté (Personne Physique)</t>
        </is>
      </c>
      <c r="F327" s="17" t="inlineStr">
        <is>
          <t>Patenté</t>
        </is>
      </c>
      <c r="G327" s="16" t="inlineStr">
        <is>
          <t>8130Z</t>
        </is>
      </c>
      <c r="H327" s="16" t="inlineStr">
        <is>
          <t>M</t>
        </is>
      </c>
      <c r="I327" s="17" t="inlineStr">
        <is>
          <t>Métiers &amp; Artisanat</t>
        </is>
      </c>
      <c r="J327" s="18" t="n">
        <v>0</v>
      </c>
      <c r="K327" s="18" t="n">
        <v>1</v>
      </c>
      <c r="L327" s="17" t="inlineStr">
        <is>
          <t>20 1922 A</t>
        </is>
      </c>
      <c r="M327" s="17" t="inlineStr">
        <is>
          <t>M DAVID CHARLES</t>
        </is>
      </c>
      <c r="N327" s="17" t="inlineStr">
        <is>
          <t>Chef d entreprise</t>
        </is>
      </c>
      <c r="O327" s="18" t="inlineStr">
        <is>
          <t>8536</t>
        </is>
      </c>
    </row>
    <row r="328" ht="20" customHeight="1">
      <c r="A328" s="13" t="inlineStr">
        <is>
          <t>PAEA-CCISM-0327</t>
        </is>
      </c>
      <c r="B328" s="13" t="inlineStr">
        <is>
          <t>495457</t>
        </is>
      </c>
      <c r="C328" s="14" t="inlineStr">
        <is>
          <t>DECIAN SEBASTIEN</t>
        </is>
      </c>
      <c r="D328" s="14" t="inlineStr">
        <is>
          <t>PK 23,500 C/MONT 98711 PAEA</t>
        </is>
      </c>
      <c r="E328" s="14" t="inlineStr">
        <is>
          <t>Patenté (Personne Physique)</t>
        </is>
      </c>
      <c r="F328" s="14" t="inlineStr">
        <is>
          <t>Patenté</t>
        </is>
      </c>
      <c r="G328" s="13" t="inlineStr">
        <is>
          <t>4339Z</t>
        </is>
      </c>
      <c r="H328" s="13" t="inlineStr">
        <is>
          <t>M</t>
        </is>
      </c>
      <c r="I328" s="14" t="inlineStr">
        <is>
          <t>Métiers &amp; Artisanat</t>
        </is>
      </c>
      <c r="J328" s="15" t="n">
        <v>0</v>
      </c>
      <c r="K328" s="15" t="n">
        <v>1</v>
      </c>
      <c r="L328" s="14" t="inlineStr">
        <is>
          <t>21 2344 A</t>
        </is>
      </c>
      <c r="M328" s="14" t="inlineStr">
        <is>
          <t>M DECIAN SEBASTIEN</t>
        </is>
      </c>
      <c r="N328" s="14" t="inlineStr">
        <is>
          <t>Chef d entreprise</t>
        </is>
      </c>
      <c r="O328" s="15" t="inlineStr">
        <is>
          <t>8601</t>
        </is>
      </c>
    </row>
    <row r="329" ht="20" customHeight="1">
      <c r="A329" s="16" t="inlineStr">
        <is>
          <t>PAEA-CCISM-0328</t>
        </is>
      </c>
      <c r="B329" s="16" t="inlineStr">
        <is>
          <t>D71440</t>
        </is>
      </c>
      <c r="C329" s="17" t="inlineStr">
        <is>
          <t>DELAMBRE EMMANUEL</t>
        </is>
      </c>
      <c r="D329" s="17" t="inlineStr">
        <is>
          <t>98711 PAEA</t>
        </is>
      </c>
      <c r="E329" s="17" t="inlineStr">
        <is>
          <t>Patenté (Personne Physique)</t>
        </is>
      </c>
      <c r="F329" s="17" t="inlineStr">
        <is>
          <t>Patenté</t>
        </is>
      </c>
      <c r="G329" s="16" t="inlineStr">
        <is>
          <t>4520A</t>
        </is>
      </c>
      <c r="H329" s="16" t="inlineStr">
        <is>
          <t>M</t>
        </is>
      </c>
      <c r="I329" s="17" t="inlineStr">
        <is>
          <t>Métiers &amp; Artisanat</t>
        </is>
      </c>
      <c r="J329" s="18" t="n">
        <v>0</v>
      </c>
      <c r="K329" s="18" t="n">
        <v>1</v>
      </c>
      <c r="L329" s="17" t="inlineStr">
        <is>
          <t>20 850 A</t>
        </is>
      </c>
      <c r="M329" s="17" t="inlineStr">
        <is>
          <t>M DELAMBRE EMMANUEL</t>
        </is>
      </c>
      <c r="N329" s="17" t="inlineStr">
        <is>
          <t>Chef d entreprise</t>
        </is>
      </c>
      <c r="O329" s="18" t="inlineStr">
        <is>
          <t>8613</t>
        </is>
      </c>
    </row>
    <row r="330" ht="20" customHeight="1">
      <c r="A330" s="13" t="inlineStr">
        <is>
          <t>PAEA-CCISM-0329</t>
        </is>
      </c>
      <c r="B330" s="13" t="inlineStr">
        <is>
          <t>C62979</t>
        </is>
      </c>
      <c r="C330" s="14" t="inlineStr">
        <is>
          <t>DELASALLE PHILIPPE PASCAL</t>
        </is>
      </c>
      <c r="D330" s="14" t="inlineStr">
        <is>
          <t>SERVITUDE BRILLIANT 98711 PAEA</t>
        </is>
      </c>
      <c r="E330" s="14" t="inlineStr">
        <is>
          <t>Patenté (Personne Physique)</t>
        </is>
      </c>
      <c r="F330" s="14" t="inlineStr">
        <is>
          <t>Patenté</t>
        </is>
      </c>
      <c r="G330" s="13" t="inlineStr">
        <is>
          <t>1813Z</t>
        </is>
      </c>
      <c r="H330" s="13" t="inlineStr">
        <is>
          <t>M</t>
        </is>
      </c>
      <c r="I330" s="14" t="inlineStr">
        <is>
          <t>Métiers &amp; Artisanat</t>
        </is>
      </c>
      <c r="J330" s="15" t="n">
        <v>0</v>
      </c>
      <c r="K330" s="15" t="n">
        <v>1</v>
      </c>
      <c r="L330" s="14" t="inlineStr">
        <is>
          <t>18 16 A</t>
        </is>
      </c>
      <c r="M330" s="14" t="inlineStr">
        <is>
          <t>M DELASALLE PHILIPPE PASCAL</t>
        </is>
      </c>
      <c r="N330" s="14" t="inlineStr">
        <is>
          <t>Chef d entreprise</t>
        </is>
      </c>
      <c r="O330" s="15" t="inlineStr">
        <is>
          <t>8615</t>
        </is>
      </c>
    </row>
    <row r="331" ht="20" customHeight="1">
      <c r="A331" s="16" t="inlineStr">
        <is>
          <t>PAEA-CCISM-0330</t>
        </is>
      </c>
      <c r="B331" s="16" t="inlineStr">
        <is>
          <t>394452</t>
        </is>
      </c>
      <c r="C331" s="17" t="inlineStr">
        <is>
          <t>DELICES DE TAHITI</t>
        </is>
      </c>
      <c r="D331" s="17" t="inlineStr">
        <is>
          <t>PAEA PK 21.800 C/MONT 98711 PAEA</t>
        </is>
      </c>
      <c r="E331" s="17" t="inlineStr">
        <is>
          <t>SARL</t>
        </is>
      </c>
      <c r="F331" s="17" t="inlineStr">
        <is>
          <t>Société</t>
        </is>
      </c>
      <c r="G331" s="16" t="inlineStr">
        <is>
          <t>1084Z</t>
        </is>
      </c>
      <c r="H331" s="16" t="inlineStr">
        <is>
          <t>M</t>
        </is>
      </c>
      <c r="I331" s="17" t="inlineStr">
        <is>
          <t>Métiers &amp; Artisanat</t>
        </is>
      </c>
      <c r="J331" s="18" t="n">
        <v>0</v>
      </c>
      <c r="K331" s="18" t="n">
        <v>1</v>
      </c>
      <c r="L331" s="17" t="inlineStr">
        <is>
          <t>6162 B</t>
        </is>
      </c>
      <c r="M331" s="17" t="inlineStr">
        <is>
          <t>M BLOT DOMINIQUE</t>
        </is>
      </c>
      <c r="N331" s="17" t="inlineStr">
        <is>
          <t>Gérant</t>
        </is>
      </c>
      <c r="O331" s="18" t="inlineStr">
        <is>
          <t>8624</t>
        </is>
      </c>
    </row>
    <row r="332" ht="20" customHeight="1">
      <c r="A332" s="13" t="inlineStr">
        <is>
          <t>PAEA-CCISM-0331</t>
        </is>
      </c>
      <c r="B332" s="13" t="inlineStr">
        <is>
          <t>472241</t>
        </is>
      </c>
      <c r="C332" s="14" t="inlineStr">
        <is>
          <t>DELION KARINE MAREVA</t>
        </is>
      </c>
      <c r="D332" s="14" t="inlineStr">
        <is>
          <t>98711 PAEA</t>
        </is>
      </c>
      <c r="E332" s="14" t="inlineStr">
        <is>
          <t>Patenté (Personne Physique)</t>
        </is>
      </c>
      <c r="F332" s="14" t="inlineStr">
        <is>
          <t>Patenté</t>
        </is>
      </c>
      <c r="G332" s="13" t="inlineStr">
        <is>
          <t>1413Z</t>
        </is>
      </c>
      <c r="H332" s="13" t="inlineStr">
        <is>
          <t>M</t>
        </is>
      </c>
      <c r="I332" s="14" t="inlineStr">
        <is>
          <t>Métiers &amp; Artisanat</t>
        </is>
      </c>
      <c r="J332" s="15" t="n">
        <v>0</v>
      </c>
      <c r="K332" s="15" t="n">
        <v>1</v>
      </c>
      <c r="L332" s="14" t="inlineStr">
        <is>
          <t>17 1256 A</t>
        </is>
      </c>
      <c r="M332" s="14" t="inlineStr">
        <is>
          <t>Mme DELION KARINE MAREVA</t>
        </is>
      </c>
      <c r="N332" s="14" t="inlineStr">
        <is>
          <t>Chef d entreprise</t>
        </is>
      </c>
      <c r="O332" s="15" t="inlineStr">
        <is>
          <t>8626</t>
        </is>
      </c>
    </row>
    <row r="333" ht="20" customHeight="1">
      <c r="A333" s="16" t="inlineStr">
        <is>
          <t>PAEA-CCISM-0332</t>
        </is>
      </c>
      <c r="B333" s="16" t="inlineStr">
        <is>
          <t>633412</t>
        </is>
      </c>
      <c r="C333" s="17" t="inlineStr">
        <is>
          <t>DEMONCHAUX SEBASTIEN FERNAND ROBERT</t>
        </is>
      </c>
      <c r="D333" s="17" t="inlineStr">
        <is>
          <t>PAEA PK 19.500 C/MONT 98711 PAEA</t>
        </is>
      </c>
      <c r="E333" s="17" t="inlineStr">
        <is>
          <t>Patenté (Personne Physique)</t>
        </is>
      </c>
      <c r="F333" s="17" t="inlineStr">
        <is>
          <t>Patenté</t>
        </is>
      </c>
      <c r="G333" s="16" t="inlineStr">
        <is>
          <t>4334Z</t>
        </is>
      </c>
      <c r="H333" s="16" t="inlineStr">
        <is>
          <t>M</t>
        </is>
      </c>
      <c r="I333" s="17" t="inlineStr">
        <is>
          <t>Métiers &amp; Artisanat</t>
        </is>
      </c>
      <c r="J333" s="18" t="n">
        <v>0</v>
      </c>
      <c r="K333" s="18" t="n">
        <v>1</v>
      </c>
      <c r="L333" s="17" t="inlineStr">
        <is>
          <t>05 33 A</t>
        </is>
      </c>
      <c r="M333" s="17" t="inlineStr">
        <is>
          <t>M DEMONCHAUX SEBASTIEN FERNAND ROBERT</t>
        </is>
      </c>
      <c r="N333" s="17" t="inlineStr">
        <is>
          <t>Chef d entreprise</t>
        </is>
      </c>
      <c r="O333" s="18" t="inlineStr">
        <is>
          <t>8645</t>
        </is>
      </c>
    </row>
    <row r="334" ht="20" customHeight="1">
      <c r="A334" s="13" t="inlineStr">
        <is>
          <t>PAEA-CCISM-0333</t>
        </is>
      </c>
      <c r="B334" s="13" t="inlineStr">
        <is>
          <t>E03101</t>
        </is>
      </c>
      <c r="C334" s="14" t="inlineStr">
        <is>
          <t>DERACHE CHARLOTTE</t>
        </is>
      </c>
      <c r="D334" s="14" t="inlineStr">
        <is>
          <t>QUARTIER VAITUPA 98711 PAEA</t>
        </is>
      </c>
      <c r="E334" s="14" t="inlineStr">
        <is>
          <t>Patenté (Personne Physique)</t>
        </is>
      </c>
      <c r="F334" s="14" t="inlineStr">
        <is>
          <t>Patenté</t>
        </is>
      </c>
      <c r="G334" s="13" t="inlineStr">
        <is>
          <t>1413Z</t>
        </is>
      </c>
      <c r="H334" s="13" t="inlineStr">
        <is>
          <t>M</t>
        </is>
      </c>
      <c r="I334" s="14" t="inlineStr">
        <is>
          <t>Métiers &amp; Artisanat</t>
        </is>
      </c>
      <c r="J334" s="15" t="n">
        <v>0</v>
      </c>
      <c r="K334" s="15" t="n">
        <v>1</v>
      </c>
      <c r="L334" s="14" t="inlineStr">
        <is>
          <t>20 2839 A</t>
        </is>
      </c>
      <c r="M334" s="14" t="inlineStr">
        <is>
          <t>Mme DERACHE CHARLOTTE</t>
        </is>
      </c>
      <c r="N334" s="14" t="inlineStr">
        <is>
          <t>Chef d entreprise</t>
        </is>
      </c>
      <c r="O334" s="15" t="inlineStr">
        <is>
          <t>8654</t>
        </is>
      </c>
    </row>
    <row r="335" ht="20" customHeight="1">
      <c r="A335" s="16" t="inlineStr">
        <is>
          <t>PAEA-CCISM-0334</t>
        </is>
      </c>
      <c r="B335" s="16" t="inlineStr">
        <is>
          <t>E15188</t>
        </is>
      </c>
      <c r="C335" s="17" t="inlineStr">
        <is>
          <t>DIDELOT SOLANGE MARIE</t>
        </is>
      </c>
      <c r="D335" s="17" t="inlineStr">
        <is>
          <t>98711 PAEA</t>
        </is>
      </c>
      <c r="E335" s="17" t="inlineStr">
        <is>
          <t>Patenté (Personne Physique)</t>
        </is>
      </c>
      <c r="F335" s="17" t="inlineStr">
        <is>
          <t>Patenté</t>
        </is>
      </c>
      <c r="G335" s="16" t="inlineStr">
        <is>
          <t>3299Z</t>
        </is>
      </c>
      <c r="H335" s="16" t="inlineStr">
        <is>
          <t>M</t>
        </is>
      </c>
      <c r="I335" s="17" t="inlineStr">
        <is>
          <t>Métiers &amp; Artisanat</t>
        </is>
      </c>
      <c r="J335" s="18" t="n">
        <v>0</v>
      </c>
      <c r="K335" s="18" t="n">
        <v>1</v>
      </c>
      <c r="L335" s="17" t="inlineStr">
        <is>
          <t>21 695 A</t>
        </is>
      </c>
      <c r="M335" s="17" t="inlineStr">
        <is>
          <t>Mme DIDELOT SOLANGE MARIE</t>
        </is>
      </c>
      <c r="N335" s="17" t="inlineStr">
        <is>
          <t>Chef d entreprise</t>
        </is>
      </c>
      <c r="O335" s="18" t="inlineStr">
        <is>
          <t>8708</t>
        </is>
      </c>
    </row>
    <row r="336" ht="20" customHeight="1">
      <c r="A336" s="13" t="inlineStr">
        <is>
          <t>PAEA-CCISM-0335</t>
        </is>
      </c>
      <c r="B336" s="13" t="inlineStr">
        <is>
          <t>174888</t>
        </is>
      </c>
      <c r="C336" s="14" t="inlineStr">
        <is>
          <t>DIMIER CLAUDE</t>
        </is>
      </c>
      <c r="D336" s="14" t="inlineStr">
        <is>
          <t>PAEA PK 18.500 C/MONT - PAPEHUE 98711 PAEA</t>
        </is>
      </c>
      <c r="E336" s="14" t="inlineStr">
        <is>
          <t>Patenté (Personne Physique)</t>
        </is>
      </c>
      <c r="F336" s="14" t="inlineStr">
        <is>
          <t>Patenté</t>
        </is>
      </c>
      <c r="G336" s="13" t="inlineStr">
        <is>
          <t>4120B</t>
        </is>
      </c>
      <c r="H336" s="13" t="inlineStr">
        <is>
          <t>M</t>
        </is>
      </c>
      <c r="I336" s="14" t="inlineStr">
        <is>
          <t>Métiers &amp; Artisanat</t>
        </is>
      </c>
      <c r="J336" s="15" t="n">
        <v>4</v>
      </c>
      <c r="K336" s="15" t="n">
        <v>1</v>
      </c>
      <c r="L336" s="14" t="inlineStr">
        <is>
          <t>17334 A</t>
        </is>
      </c>
      <c r="M336" s="14" t="inlineStr">
        <is>
          <t>M DIMIER CLAUDE</t>
        </is>
      </c>
      <c r="N336" s="14" t="inlineStr">
        <is>
          <t>Chef d entreprise</t>
        </is>
      </c>
      <c r="O336" s="15" t="inlineStr">
        <is>
          <t>8715</t>
        </is>
      </c>
    </row>
    <row r="337" ht="20" customHeight="1">
      <c r="A337" s="16" t="inlineStr">
        <is>
          <t>PAEA-CCISM-0336</t>
        </is>
      </c>
      <c r="B337" s="16" t="inlineStr">
        <is>
          <t>F58624</t>
        </is>
      </c>
      <c r="C337" s="17" t="inlineStr">
        <is>
          <t>DOMINGO TEMANAVA</t>
        </is>
      </c>
      <c r="D337" s="17" t="inlineStr">
        <is>
          <t>LOT 396 B 98711 PAEA</t>
        </is>
      </c>
      <c r="E337" s="17" t="inlineStr">
        <is>
          <t>Patenté (Personne Physique)</t>
        </is>
      </c>
      <c r="F337" s="17" t="inlineStr">
        <is>
          <t>Patenté</t>
        </is>
      </c>
      <c r="G337" s="16" t="inlineStr">
        <is>
          <t>9602B</t>
        </is>
      </c>
      <c r="H337" s="16" t="inlineStr">
        <is>
          <t>M</t>
        </is>
      </c>
      <c r="I337" s="17" t="inlineStr">
        <is>
          <t>Métiers &amp; Artisanat</t>
        </is>
      </c>
      <c r="J337" s="18" t="n">
        <v>0</v>
      </c>
      <c r="K337" s="18" t="n">
        <v>1</v>
      </c>
      <c r="L337" s="17" t="inlineStr">
        <is>
          <t>23 2942 A</t>
        </is>
      </c>
      <c r="M337" s="17" t="inlineStr">
        <is>
          <t>Mme DOMINGO TEMANAVA</t>
        </is>
      </c>
      <c r="N337" s="17" t="inlineStr">
        <is>
          <t>Chef d entreprise</t>
        </is>
      </c>
      <c r="O337" s="18" t="inlineStr">
        <is>
          <t>8739</t>
        </is>
      </c>
    </row>
    <row r="338" ht="20" customHeight="1">
      <c r="A338" s="13" t="inlineStr">
        <is>
          <t>PAEA-CCISM-0337</t>
        </is>
      </c>
      <c r="B338" s="13" t="inlineStr">
        <is>
          <t>856716</t>
        </is>
      </c>
      <c r="C338" s="14" t="inlineStr">
        <is>
          <t>DUBOS EMMANUEL MARIE LÉON RENÉ</t>
        </is>
      </c>
      <c r="D338" s="14" t="inlineStr">
        <is>
          <t>PAEA PK 23.300 C/MONT - TIARE 98711 PAEA</t>
        </is>
      </c>
      <c r="E338" s="14" t="inlineStr">
        <is>
          <t>Patenté (Personne Physique)</t>
        </is>
      </c>
      <c r="F338" s="14" t="inlineStr">
        <is>
          <t>Patenté</t>
        </is>
      </c>
      <c r="G338" s="13" t="inlineStr">
        <is>
          <t>7420Z</t>
        </is>
      </c>
      <c r="H338" s="13" t="inlineStr">
        <is>
          <t>M</t>
        </is>
      </c>
      <c r="I338" s="14" t="inlineStr">
        <is>
          <t>Métiers &amp; Artisanat</t>
        </is>
      </c>
      <c r="J338" s="15" t="n">
        <v>0</v>
      </c>
      <c r="K338" s="15" t="n">
        <v>1</v>
      </c>
      <c r="L338" s="14" t="inlineStr">
        <is>
          <t>08 432 A</t>
        </is>
      </c>
      <c r="M338" s="14" t="inlineStr">
        <is>
          <t>M DUBOS EMMANUEL MARIE LÉON RENÉ</t>
        </is>
      </c>
      <c r="N338" s="14" t="inlineStr">
        <is>
          <t>Chef d entreprise</t>
        </is>
      </c>
      <c r="O338" s="15" t="inlineStr">
        <is>
          <t>8796</t>
        </is>
      </c>
    </row>
    <row r="339" ht="20" customHeight="1">
      <c r="A339" s="16" t="inlineStr">
        <is>
          <t>PAEA-CCISM-0338</t>
        </is>
      </c>
      <c r="B339" s="16" t="inlineStr">
        <is>
          <t>C21603</t>
        </is>
      </c>
      <c r="C339" s="17" t="inlineStr">
        <is>
          <t>DUCRETET VINCENT ANDRÉ</t>
        </is>
      </c>
      <c r="D339" s="17" t="inlineStr">
        <is>
          <t>98711 PAEA</t>
        </is>
      </c>
      <c r="E339" s="17" t="inlineStr">
        <is>
          <t>Patenté (Personne Physique)</t>
        </is>
      </c>
      <c r="F339" s="17" t="inlineStr">
        <is>
          <t>Patenté</t>
        </is>
      </c>
      <c r="G339" s="16" t="inlineStr">
        <is>
          <t>4339Z</t>
        </is>
      </c>
      <c r="H339" s="16" t="inlineStr">
        <is>
          <t>M</t>
        </is>
      </c>
      <c r="I339" s="17" t="inlineStr">
        <is>
          <t>Métiers &amp; Artisanat</t>
        </is>
      </c>
      <c r="J339" s="18" t="n">
        <v>0</v>
      </c>
      <c r="K339" s="18" t="n">
        <v>1</v>
      </c>
      <c r="L339" s="17" t="inlineStr">
        <is>
          <t>17 47 A</t>
        </is>
      </c>
      <c r="M339" s="17" t="inlineStr">
        <is>
          <t>M DUCRETET VINCENT ANDRÉ</t>
        </is>
      </c>
      <c r="N339" s="17" t="inlineStr">
        <is>
          <t>Chef d entreprise</t>
        </is>
      </c>
      <c r="O339" s="18" t="inlineStr">
        <is>
          <t>8803</t>
        </is>
      </c>
    </row>
    <row r="340" ht="20" customHeight="1">
      <c r="A340" s="13" t="inlineStr">
        <is>
          <t>PAEA-CCISM-0339</t>
        </is>
      </c>
      <c r="B340" s="13" t="inlineStr">
        <is>
          <t>730341</t>
        </is>
      </c>
      <c r="C340" s="14" t="inlineStr">
        <is>
          <t>DUDOUIT DAVY ANDRE ROGER</t>
        </is>
      </c>
      <c r="D340" s="14" t="inlineStr">
        <is>
          <t>PAEA PK 18.900 C/MONT - SERV.HAERERAAR 98711 PAEA</t>
        </is>
      </c>
      <c r="E340" s="14" t="inlineStr">
        <is>
          <t>Patenté (Personne Physique)</t>
        </is>
      </c>
      <c r="F340" s="14" t="inlineStr">
        <is>
          <t>Patenté</t>
        </is>
      </c>
      <c r="G340" s="13" t="inlineStr">
        <is>
          <t>4334Z</t>
        </is>
      </c>
      <c r="H340" s="13" t="inlineStr">
        <is>
          <t>M</t>
        </is>
      </c>
      <c r="I340" s="14" t="inlineStr">
        <is>
          <t>Métiers &amp; Artisanat</t>
        </is>
      </c>
      <c r="J340" s="15" t="n">
        <v>0</v>
      </c>
      <c r="K340" s="15" t="n">
        <v>1</v>
      </c>
      <c r="L340" s="14" t="inlineStr">
        <is>
          <t>08 1946 A</t>
        </is>
      </c>
      <c r="M340" s="14" t="inlineStr">
        <is>
          <t>M DUDOUIT DAVY ANDRE ROGER</t>
        </is>
      </c>
      <c r="N340" s="14" t="inlineStr">
        <is>
          <t>Chef d entreprise</t>
        </is>
      </c>
      <c r="O340" s="15" t="inlineStr">
        <is>
          <t>8805</t>
        </is>
      </c>
    </row>
    <row r="341" ht="20" customHeight="1">
      <c r="A341" s="16" t="inlineStr">
        <is>
          <t>PAEA-CCISM-0340</t>
        </is>
      </c>
      <c r="B341" s="16" t="inlineStr">
        <is>
          <t>353839</t>
        </is>
      </c>
      <c r="C341" s="17" t="inlineStr">
        <is>
          <t>DUPOND GERARD</t>
        </is>
      </c>
      <c r="D341" s="17" t="inlineStr">
        <is>
          <t>PAEA PK 21.5 C/MGNE 98711 PAEA</t>
        </is>
      </c>
      <c r="E341" s="17" t="inlineStr">
        <is>
          <t>Patenté (Personne Physique)</t>
        </is>
      </c>
      <c r="F341" s="17" t="inlineStr">
        <is>
          <t>Patenté</t>
        </is>
      </c>
      <c r="G341" s="16" t="inlineStr">
        <is>
          <t>8130Z</t>
        </is>
      </c>
      <c r="H341" s="16" t="inlineStr">
        <is>
          <t>M</t>
        </is>
      </c>
      <c r="I341" s="17" t="inlineStr">
        <is>
          <t>Métiers &amp; Artisanat</t>
        </is>
      </c>
      <c r="J341" s="18" t="n">
        <v>0</v>
      </c>
      <c r="K341" s="18" t="n">
        <v>1</v>
      </c>
      <c r="L341" s="17" t="inlineStr"/>
      <c r="M341" s="17" t="inlineStr">
        <is>
          <t>24645 A</t>
        </is>
      </c>
      <c r="N341" s="17" t="inlineStr"/>
      <c r="O341" s="18" t="inlineStr"/>
    </row>
    <row r="342" ht="20" customHeight="1">
      <c r="A342" s="13" t="inlineStr">
        <is>
          <t>PAEA-CCISM-0341</t>
        </is>
      </c>
      <c r="B342" s="13" t="inlineStr">
        <is>
          <t>645796</t>
        </is>
      </c>
      <c r="C342" s="14" t="inlineStr">
        <is>
          <t>DUPONT PHILIPPE MAURICE AUGUSTE</t>
        </is>
      </c>
      <c r="D342" s="14" t="inlineStr">
        <is>
          <t>PAEA PK 19.5 LOT SEIGNEUR - RICHMOND 98711 PAEA</t>
        </is>
      </c>
      <c r="E342" s="14" t="inlineStr">
        <is>
          <t>Patenté (Personne Physique)</t>
        </is>
      </c>
      <c r="F342" s="14" t="inlineStr">
        <is>
          <t>Patenté</t>
        </is>
      </c>
      <c r="G342" s="13" t="inlineStr">
        <is>
          <t>1071D</t>
        </is>
      </c>
      <c r="H342" s="13" t="inlineStr">
        <is>
          <t>M</t>
        </is>
      </c>
      <c r="I342" s="14" t="inlineStr">
        <is>
          <t>Métiers &amp; Artisanat</t>
        </is>
      </c>
      <c r="J342" s="15" t="n">
        <v>0</v>
      </c>
      <c r="K342" s="15" t="n">
        <v>1</v>
      </c>
      <c r="L342" s="14" t="inlineStr">
        <is>
          <t>42216 A</t>
        </is>
      </c>
      <c r="M342" s="14" t="inlineStr">
        <is>
          <t>M DUPONT PHILIPPE MAURICE AUGUSTE</t>
        </is>
      </c>
      <c r="N342" s="14" t="inlineStr">
        <is>
          <t>Chef d entreprise</t>
        </is>
      </c>
      <c r="O342" s="15" t="inlineStr">
        <is>
          <t>8824</t>
        </is>
      </c>
    </row>
    <row r="343" ht="20" customHeight="1">
      <c r="A343" s="16" t="inlineStr">
        <is>
          <t>PAEA-CCISM-0342</t>
        </is>
      </c>
      <c r="B343" s="16" t="inlineStr">
        <is>
          <t>A75819</t>
        </is>
      </c>
      <c r="C343" s="17" t="inlineStr">
        <is>
          <t>DUPUIS NICOLAS NATAI</t>
        </is>
      </c>
      <c r="D343" s="17" t="inlineStr">
        <is>
          <t>ROBSON 98711 PAEA</t>
        </is>
      </c>
      <c r="E343" s="17" t="inlineStr">
        <is>
          <t>Patenté (Personne Physique)</t>
        </is>
      </c>
      <c r="F343" s="17" t="inlineStr">
        <is>
          <t>Patenté</t>
        </is>
      </c>
      <c r="G343" s="16" t="inlineStr">
        <is>
          <t>4339Z</t>
        </is>
      </c>
      <c r="H343" s="16" t="inlineStr">
        <is>
          <t>M</t>
        </is>
      </c>
      <c r="I343" s="17" t="inlineStr">
        <is>
          <t>Métiers &amp; Artisanat</t>
        </is>
      </c>
      <c r="J343" s="18" t="n">
        <v>0</v>
      </c>
      <c r="K343" s="18" t="n">
        <v>1</v>
      </c>
      <c r="L343" s="17" t="inlineStr">
        <is>
          <t>14 243 A</t>
        </is>
      </c>
      <c r="M343" s="17" t="inlineStr">
        <is>
          <t>M DUPUIS NICOLAS</t>
        </is>
      </c>
      <c r="N343" s="17" t="inlineStr">
        <is>
          <t>Chef d entreprise</t>
        </is>
      </c>
      <c r="O343" s="18" t="inlineStr">
        <is>
          <t>8835</t>
        </is>
      </c>
    </row>
    <row r="344" ht="20" customHeight="1">
      <c r="A344" s="13" t="inlineStr">
        <is>
          <t>PAEA-CCISM-0343</t>
        </is>
      </c>
      <c r="B344" s="13" t="inlineStr">
        <is>
          <t>D22419</t>
        </is>
      </c>
      <c r="C344" s="14" t="inlineStr">
        <is>
          <t>DURIETZ ERIE</t>
        </is>
      </c>
      <c r="D344" s="14" t="inlineStr">
        <is>
          <t>98711 PAEA</t>
        </is>
      </c>
      <c r="E344" s="14" t="inlineStr">
        <is>
          <t>Patenté (Personne Physique)</t>
        </is>
      </c>
      <c r="F344" s="14" t="inlineStr">
        <is>
          <t>Patenté</t>
        </is>
      </c>
      <c r="G344" s="13" t="inlineStr">
        <is>
          <t>9602B</t>
        </is>
      </c>
      <c r="H344" s="13" t="inlineStr">
        <is>
          <t>M</t>
        </is>
      </c>
      <c r="I344" s="14" t="inlineStr">
        <is>
          <t>Métiers &amp; Artisanat</t>
        </is>
      </c>
      <c r="J344" s="15" t="n">
        <v>0</v>
      </c>
      <c r="K344" s="15" t="n">
        <v>1</v>
      </c>
      <c r="L344" s="14" t="inlineStr">
        <is>
          <t>19 989 A</t>
        </is>
      </c>
      <c r="M344" s="14" t="inlineStr">
        <is>
          <t>Mme DURIETZ ERIE</t>
        </is>
      </c>
      <c r="N344" s="14" t="inlineStr">
        <is>
          <t>Chef d entreprise</t>
        </is>
      </c>
      <c r="O344" s="15" t="inlineStr">
        <is>
          <t>8843</t>
        </is>
      </c>
    </row>
    <row r="345" ht="20" customHeight="1">
      <c r="A345" s="16" t="inlineStr">
        <is>
          <t>PAEA-CCISM-0344</t>
        </is>
      </c>
      <c r="B345" s="16" t="inlineStr">
        <is>
          <t>F99990</t>
        </is>
      </c>
      <c r="C345" s="17" t="inlineStr">
        <is>
          <t>DURIEZ TAYLOR</t>
        </is>
      </c>
      <c r="D345" s="17" t="inlineStr">
        <is>
          <t>LOGT 36 LOTISSEMENT VAITERUPE 98711 PAEA</t>
        </is>
      </c>
      <c r="E345" s="17" t="inlineStr">
        <is>
          <t>Patenté (Personne Physique)</t>
        </is>
      </c>
      <c r="F345" s="17" t="inlineStr">
        <is>
          <t>Patenté</t>
        </is>
      </c>
      <c r="G345" s="16" t="inlineStr">
        <is>
          <t>8130Z</t>
        </is>
      </c>
      <c r="H345" s="16" t="inlineStr">
        <is>
          <t>M</t>
        </is>
      </c>
      <c r="I345" s="17" t="inlineStr">
        <is>
          <t>Métiers &amp; Artisanat</t>
        </is>
      </c>
      <c r="J345" s="18" t="n">
        <v>0</v>
      </c>
      <c r="K345" s="18" t="n">
        <v>1</v>
      </c>
      <c r="L345" s="17" t="inlineStr">
        <is>
          <t>24 2257 A</t>
        </is>
      </c>
      <c r="M345" s="17" t="inlineStr">
        <is>
          <t>M DURIEZ TAYLOR</t>
        </is>
      </c>
      <c r="N345" s="17" t="inlineStr">
        <is>
          <t>Chef d entreprise</t>
        </is>
      </c>
      <c r="O345" s="18" t="inlineStr">
        <is>
          <t>8846</t>
        </is>
      </c>
    </row>
    <row r="346" ht="20" customHeight="1">
      <c r="A346" s="13" t="inlineStr">
        <is>
          <t>PAEA-CCISM-0345</t>
        </is>
      </c>
      <c r="B346" s="13" t="inlineStr">
        <is>
          <t>C02496</t>
        </is>
      </c>
      <c r="C346" s="14" t="inlineStr">
        <is>
          <t>DUVAL MONIQUE PAULETTE</t>
        </is>
      </c>
      <c r="D346" s="14" t="inlineStr">
        <is>
          <t>RES LES BOUGAINVILLIERS 98711 PAEA</t>
        </is>
      </c>
      <c r="E346" s="14" t="inlineStr">
        <is>
          <t>Patenté (Personne Physique)</t>
        </is>
      </c>
      <c r="F346" s="14" t="inlineStr">
        <is>
          <t>Patenté</t>
        </is>
      </c>
      <c r="G346" s="13" t="inlineStr">
        <is>
          <t>1071D</t>
        </is>
      </c>
      <c r="H346" s="13" t="inlineStr">
        <is>
          <t>M</t>
        </is>
      </c>
      <c r="I346" s="14" t="inlineStr">
        <is>
          <t>Métiers &amp; Artisanat</t>
        </is>
      </c>
      <c r="J346" s="15" t="n">
        <v>0</v>
      </c>
      <c r="K346" s="15" t="n">
        <v>1</v>
      </c>
      <c r="L346" s="14" t="inlineStr">
        <is>
          <t>16 1749 A</t>
        </is>
      </c>
      <c r="M346" s="14" t="inlineStr">
        <is>
          <t>Mme DUVAL MONIQUE PAULETTE</t>
        </is>
      </c>
      <c r="N346" s="14" t="inlineStr">
        <is>
          <t>Chef d entreprise</t>
        </is>
      </c>
      <c r="O346" s="15" t="inlineStr">
        <is>
          <t>8859</t>
        </is>
      </c>
    </row>
    <row r="347" ht="20" customHeight="1">
      <c r="A347" s="16" t="inlineStr">
        <is>
          <t>PAEA-CCISM-0346</t>
        </is>
      </c>
      <c r="B347" s="16" t="inlineStr">
        <is>
          <t>D35288</t>
        </is>
      </c>
      <c r="C347" s="17" t="inlineStr">
        <is>
          <t>ECO H20 POLYNESIE</t>
        </is>
      </c>
      <c r="D347" s="17" t="inlineStr">
        <is>
          <t>98711 PAEA</t>
        </is>
      </c>
      <c r="E347" s="17" t="inlineStr">
        <is>
          <t>SARL</t>
        </is>
      </c>
      <c r="F347" s="17" t="inlineStr">
        <is>
          <t>Société</t>
        </is>
      </c>
      <c r="G347" s="16" t="inlineStr">
        <is>
          <t>4520A</t>
        </is>
      </c>
      <c r="H347" s="16" t="inlineStr">
        <is>
          <t>M</t>
        </is>
      </c>
      <c r="I347" s="17" t="inlineStr">
        <is>
          <t>Métiers &amp; Artisanat</t>
        </is>
      </c>
      <c r="J347" s="18" t="n">
        <v>0</v>
      </c>
      <c r="K347" s="18" t="n">
        <v>1</v>
      </c>
      <c r="L347" s="17" t="inlineStr">
        <is>
          <t>19 253 B</t>
        </is>
      </c>
      <c r="M347" s="17" t="inlineStr">
        <is>
          <t>M CHIN REYNOLDS</t>
        </is>
      </c>
      <c r="N347" s="17" t="inlineStr">
        <is>
          <t>Autre</t>
        </is>
      </c>
      <c r="O347" s="18" t="inlineStr">
        <is>
          <t>8890</t>
        </is>
      </c>
    </row>
    <row r="348" ht="20" customHeight="1">
      <c r="A348" s="13" t="inlineStr">
        <is>
          <t>PAEA-CCISM-0347</t>
        </is>
      </c>
      <c r="B348" s="13" t="inlineStr">
        <is>
          <t>E90728</t>
        </is>
      </c>
      <c r="C348" s="14" t="inlineStr">
        <is>
          <t>ETCHEVERRIA MATTIN</t>
        </is>
      </c>
      <c r="D348" s="14" t="inlineStr">
        <is>
          <t>SERV VAITIARE 1 98711 PAEA</t>
        </is>
      </c>
      <c r="E348" s="14" t="inlineStr">
        <is>
          <t>Patenté (Personne Physique)</t>
        </is>
      </c>
      <c r="F348" s="14" t="inlineStr">
        <is>
          <t>Patenté</t>
        </is>
      </c>
      <c r="G348" s="13" t="inlineStr">
        <is>
          <t>4520A</t>
        </is>
      </c>
      <c r="H348" s="13" t="inlineStr">
        <is>
          <t>M</t>
        </is>
      </c>
      <c r="I348" s="14" t="inlineStr">
        <is>
          <t>Métiers &amp; Artisanat</t>
        </is>
      </c>
      <c r="J348" s="15" t="n">
        <v>0</v>
      </c>
      <c r="K348" s="15" t="n">
        <v>1</v>
      </c>
      <c r="L348" s="14" t="inlineStr">
        <is>
          <t>22 2139 A</t>
        </is>
      </c>
      <c r="M348" s="14" t="inlineStr">
        <is>
          <t>M ETCHEVERRIA-DOMINGEZ MATTIN</t>
        </is>
      </c>
      <c r="N348" s="14" t="inlineStr">
        <is>
          <t>Chef d entreprise</t>
        </is>
      </c>
      <c r="O348" s="15" t="inlineStr">
        <is>
          <t>8982</t>
        </is>
      </c>
    </row>
    <row r="349" ht="20" customHeight="1">
      <c r="A349" s="16" t="inlineStr">
        <is>
          <t>PAEA-CCISM-0348</t>
        </is>
      </c>
      <c r="B349" s="16" t="inlineStr">
        <is>
          <t>714956</t>
        </is>
      </c>
      <c r="C349" s="17" t="inlineStr">
        <is>
          <t>FAARII EDWIN TEHAHE</t>
        </is>
      </c>
      <c r="D349" s="17" t="inlineStr">
        <is>
          <t>PAEA PK 23 TAHITI - PICARD 98711 PAEA</t>
        </is>
      </c>
      <c r="E349" s="17" t="inlineStr">
        <is>
          <t>Patenté (Personne Physique)</t>
        </is>
      </c>
      <c r="F349" s="17" t="inlineStr">
        <is>
          <t>Patenté</t>
        </is>
      </c>
      <c r="G349" s="16" t="inlineStr">
        <is>
          <t>4312A</t>
        </is>
      </c>
      <c r="H349" s="16" t="inlineStr">
        <is>
          <t>M</t>
        </is>
      </c>
      <c r="I349" s="17" t="inlineStr">
        <is>
          <t>Métiers &amp; Artisanat</t>
        </is>
      </c>
      <c r="J349" s="18" t="n">
        <v>0</v>
      </c>
      <c r="K349" s="18" t="n">
        <v>1</v>
      </c>
      <c r="L349" s="17" t="inlineStr">
        <is>
          <t>04 394 A</t>
        </is>
      </c>
      <c r="M349" s="17" t="inlineStr">
        <is>
          <t>M FAARII EDWIN TEHAHE</t>
        </is>
      </c>
      <c r="N349" s="17" t="inlineStr">
        <is>
          <t>Gérant</t>
        </is>
      </c>
      <c r="O349" s="18" t="inlineStr">
        <is>
          <t>9039</t>
        </is>
      </c>
    </row>
    <row r="350" ht="20" customHeight="1">
      <c r="A350" s="13" t="inlineStr">
        <is>
          <t>PAEA-CCISM-0349</t>
        </is>
      </c>
      <c r="B350" s="13" t="inlineStr">
        <is>
          <t>138388</t>
        </is>
      </c>
      <c r="C350" s="14" t="inlineStr">
        <is>
          <t>FAATAU MARCEL VINIURA</t>
        </is>
      </c>
      <c r="D350" s="14" t="inlineStr">
        <is>
          <t>QTR HOIORE 98711 PAEA</t>
        </is>
      </c>
      <c r="E350" s="14" t="inlineStr">
        <is>
          <t>Patenté (Personne Physique)</t>
        </is>
      </c>
      <c r="F350" s="14" t="inlineStr">
        <is>
          <t>Patenté</t>
        </is>
      </c>
      <c r="G350" s="13" t="inlineStr">
        <is>
          <t>4520A</t>
        </is>
      </c>
      <c r="H350" s="13" t="inlineStr">
        <is>
          <t>M</t>
        </is>
      </c>
      <c r="I350" s="14" t="inlineStr">
        <is>
          <t>Métiers &amp; Artisanat</t>
        </is>
      </c>
      <c r="J350" s="15" t="n">
        <v>0</v>
      </c>
      <c r="K350" s="15" t="n">
        <v>1</v>
      </c>
      <c r="L350" s="14" t="inlineStr">
        <is>
          <t>25 904 A</t>
        </is>
      </c>
      <c r="M350" s="14" t="inlineStr">
        <is>
          <t>M FAATAU MARCEL VINIURA</t>
        </is>
      </c>
      <c r="N350" s="14" t="inlineStr">
        <is>
          <t>Chef d entreprise</t>
        </is>
      </c>
      <c r="O350" s="15" t="inlineStr">
        <is>
          <t>9057</t>
        </is>
      </c>
    </row>
    <row r="351" ht="20" customHeight="1">
      <c r="A351" s="16" t="inlineStr">
        <is>
          <t>PAEA-CCISM-0350</t>
        </is>
      </c>
      <c r="B351" s="16" t="inlineStr">
        <is>
          <t>710699</t>
        </is>
      </c>
      <c r="C351" s="17" t="inlineStr">
        <is>
          <t>FAATAUIRA RUBEN</t>
        </is>
      </c>
      <c r="D351" s="17" t="inlineStr">
        <is>
          <t>PAEA PK 24.500 C/MONT 98711 PAEA</t>
        </is>
      </c>
      <c r="E351" s="17" t="inlineStr">
        <is>
          <t>Patenté (Personne Physique)</t>
        </is>
      </c>
      <c r="F351" s="17" t="inlineStr">
        <is>
          <t>Patenté</t>
        </is>
      </c>
      <c r="G351" s="16" t="inlineStr">
        <is>
          <t>4332A</t>
        </is>
      </c>
      <c r="H351" s="16" t="inlineStr">
        <is>
          <t>M</t>
        </is>
      </c>
      <c r="I351" s="17" t="inlineStr">
        <is>
          <t>Métiers &amp; Artisanat</t>
        </is>
      </c>
      <c r="J351" s="18" t="n">
        <v>0</v>
      </c>
      <c r="K351" s="18" t="n">
        <v>1</v>
      </c>
      <c r="L351" s="17" t="inlineStr">
        <is>
          <t>04 110 A</t>
        </is>
      </c>
      <c r="M351" s="17" t="inlineStr">
        <is>
          <t>M FAATAUIRA RUBEN</t>
        </is>
      </c>
      <c r="N351" s="17" t="inlineStr">
        <is>
          <t>Chef d entreprise</t>
        </is>
      </c>
      <c r="O351" s="18" t="inlineStr">
        <is>
          <t>9066</t>
        </is>
      </c>
    </row>
    <row r="352" ht="20" customHeight="1">
      <c r="A352" s="13" t="inlineStr">
        <is>
          <t>PAEA-CCISM-0351</t>
        </is>
      </c>
      <c r="B352" s="13" t="inlineStr">
        <is>
          <t>A62874</t>
        </is>
      </c>
      <c r="C352" s="14" t="inlineStr">
        <is>
          <t>FAGNEAUX TODD TUIANU WILFRID</t>
        </is>
      </c>
      <c r="D352" s="14" t="inlineStr">
        <is>
          <t>98711 PAEA</t>
        </is>
      </c>
      <c r="E352" s="14" t="inlineStr">
        <is>
          <t>Patenté (Personne Physique)</t>
        </is>
      </c>
      <c r="F352" s="14" t="inlineStr">
        <is>
          <t>Patenté</t>
        </is>
      </c>
      <c r="G352" s="13" t="inlineStr">
        <is>
          <t>1330Z</t>
        </is>
      </c>
      <c r="H352" s="13" t="inlineStr">
        <is>
          <t>M</t>
        </is>
      </c>
      <c r="I352" s="14" t="inlineStr">
        <is>
          <t>Métiers &amp; Artisanat</t>
        </is>
      </c>
      <c r="J352" s="15" t="n">
        <v>0</v>
      </c>
      <c r="K352" s="15" t="n">
        <v>1</v>
      </c>
      <c r="L352" s="14" t="inlineStr">
        <is>
          <t>13 587 A</t>
        </is>
      </c>
      <c r="M352" s="14" t="inlineStr">
        <is>
          <t>M FAGNEAUX TODD TUIANU WILFRID</t>
        </is>
      </c>
      <c r="N352" s="14" t="inlineStr">
        <is>
          <t>Chef d entreprise</t>
        </is>
      </c>
      <c r="O352" s="15" t="inlineStr">
        <is>
          <t>9091</t>
        </is>
      </c>
    </row>
    <row r="353" ht="20" customHeight="1">
      <c r="A353" s="16" t="inlineStr">
        <is>
          <t>PAEA-CCISM-0352</t>
        </is>
      </c>
      <c r="B353" s="16" t="inlineStr">
        <is>
          <t>642835</t>
        </is>
      </c>
      <c r="C353" s="17" t="inlineStr">
        <is>
          <t>FAKATIKA PETELO SANELE</t>
        </is>
      </c>
      <c r="D353" s="17" t="inlineStr">
        <is>
          <t>PAEA PK 19.200 C/MER 98711 PAEA</t>
        </is>
      </c>
      <c r="E353" s="17" t="inlineStr">
        <is>
          <t>Patenté (Personne Physique)</t>
        </is>
      </c>
      <c r="F353" s="17" t="inlineStr">
        <is>
          <t>Patenté</t>
        </is>
      </c>
      <c r="G353" s="16" t="inlineStr">
        <is>
          <t>4339Z</t>
        </is>
      </c>
      <c r="H353" s="16" t="inlineStr">
        <is>
          <t>M</t>
        </is>
      </c>
      <c r="I353" s="17" t="inlineStr">
        <is>
          <t>Métiers &amp; Artisanat</t>
        </is>
      </c>
      <c r="J353" s="18" t="n">
        <v>0</v>
      </c>
      <c r="K353" s="18" t="n">
        <v>1</v>
      </c>
      <c r="L353" s="17" t="inlineStr">
        <is>
          <t>43333 A</t>
        </is>
      </c>
      <c r="M353" s="17" t="inlineStr">
        <is>
          <t>M 42048A/10.02.2003 PETELO SANELE</t>
        </is>
      </c>
      <c r="N353" s="17" t="inlineStr">
        <is>
          <t>Chef d entreprise</t>
        </is>
      </c>
      <c r="O353" s="18" t="inlineStr">
        <is>
          <t>9097</t>
        </is>
      </c>
    </row>
    <row r="354" ht="20" customHeight="1">
      <c r="A354" s="13" t="inlineStr">
        <is>
          <t>PAEA-CCISM-0353</t>
        </is>
      </c>
      <c r="B354" s="13" t="inlineStr">
        <is>
          <t>D28010</t>
        </is>
      </c>
      <c r="C354" s="14" t="inlineStr">
        <is>
          <t>FALCHETTO FREDERIC</t>
        </is>
      </c>
      <c r="D354" s="14" t="inlineStr">
        <is>
          <t>QT VAIATU AVANT MAIRIE PK 22 C/MONT 98711 PAEA</t>
        </is>
      </c>
      <c r="E354" s="14" t="inlineStr">
        <is>
          <t>Patenté (Personne Physique)</t>
        </is>
      </c>
      <c r="F354" s="14" t="inlineStr">
        <is>
          <t>Patenté</t>
        </is>
      </c>
      <c r="G354" s="13" t="inlineStr">
        <is>
          <t>1413Z</t>
        </is>
      </c>
      <c r="H354" s="13" t="inlineStr">
        <is>
          <t>M</t>
        </is>
      </c>
      <c r="I354" s="14" t="inlineStr">
        <is>
          <t>Métiers &amp; Artisanat</t>
        </is>
      </c>
      <c r="J354" s="15" t="n">
        <v>0</v>
      </c>
      <c r="K354" s="15" t="n">
        <v>1</v>
      </c>
      <c r="L354" s="14" t="inlineStr">
        <is>
          <t>19 1425 A</t>
        </is>
      </c>
      <c r="M354" s="14" t="inlineStr">
        <is>
          <t>M FALCHETTO FREDERIC</t>
        </is>
      </c>
      <c r="N354" s="14" t="inlineStr">
        <is>
          <t>Chef d entreprise</t>
        </is>
      </c>
      <c r="O354" s="15" t="inlineStr">
        <is>
          <t>9098</t>
        </is>
      </c>
    </row>
    <row r="355" ht="20" customHeight="1">
      <c r="A355" s="16" t="inlineStr">
        <is>
          <t>PAEA-CCISM-0354</t>
        </is>
      </c>
      <c r="B355" s="16" t="inlineStr">
        <is>
          <t>416198</t>
        </is>
      </c>
      <c r="C355" s="17" t="inlineStr">
        <is>
          <t>FANOU PHILIPPE</t>
        </is>
      </c>
      <c r="D355" s="17" t="inlineStr">
        <is>
          <t>PAEA PK 21.500 C/MONT 98711 PAEA</t>
        </is>
      </c>
      <c r="E355" s="17" t="inlineStr">
        <is>
          <t>Patenté (Personne Physique)</t>
        </is>
      </c>
      <c r="F355" s="17" t="inlineStr">
        <is>
          <t>Patenté</t>
        </is>
      </c>
      <c r="G355" s="16" t="inlineStr">
        <is>
          <t>9521Z</t>
        </is>
      </c>
      <c r="H355" s="16" t="inlineStr">
        <is>
          <t>M</t>
        </is>
      </c>
      <c r="I355" s="17" t="inlineStr">
        <is>
          <t>Métiers &amp; Artisanat</t>
        </is>
      </c>
      <c r="J355" s="18" t="n">
        <v>0</v>
      </c>
      <c r="K355" s="18" t="n">
        <v>1</v>
      </c>
      <c r="L355" s="17" t="inlineStr">
        <is>
          <t>27975 A</t>
        </is>
      </c>
      <c r="M355" s="17" t="inlineStr">
        <is>
          <t>M FANOU PHILIPPE</t>
        </is>
      </c>
      <c r="N355" s="17" t="inlineStr">
        <is>
          <t>Chef d entreprise</t>
        </is>
      </c>
      <c r="O355" s="18" t="inlineStr">
        <is>
          <t>9119</t>
        </is>
      </c>
    </row>
    <row r="356" ht="20" customHeight="1">
      <c r="A356" s="13" t="inlineStr">
        <is>
          <t>PAEA-CCISM-0355</t>
        </is>
      </c>
      <c r="B356" s="13" t="inlineStr">
        <is>
          <t>336818</t>
        </is>
      </c>
      <c r="C356" s="14" t="inlineStr">
        <is>
          <t>FAREURA BENJAMIN</t>
        </is>
      </c>
      <c r="D356" s="14" t="inlineStr">
        <is>
          <t>QUA HAMAUURU 98711 PAEA</t>
        </is>
      </c>
      <c r="E356" s="14" t="inlineStr">
        <is>
          <t>Patenté (Personne Physique)</t>
        </is>
      </c>
      <c r="F356" s="14" t="inlineStr">
        <is>
          <t>Patenté</t>
        </is>
      </c>
      <c r="G356" s="13" t="inlineStr">
        <is>
          <t>4339Z</t>
        </is>
      </c>
      <c r="H356" s="13" t="inlineStr">
        <is>
          <t>M</t>
        </is>
      </c>
      <c r="I356" s="14" t="inlineStr">
        <is>
          <t>Métiers &amp; Artisanat</t>
        </is>
      </c>
      <c r="J356" s="15" t="n">
        <v>0</v>
      </c>
      <c r="K356" s="15" t="n">
        <v>1</v>
      </c>
      <c r="L356" s="14" t="inlineStr">
        <is>
          <t>23790 A</t>
        </is>
      </c>
      <c r="M356" s="14" t="inlineStr">
        <is>
          <t>M FAREURA BENJAMIN</t>
        </is>
      </c>
      <c r="N356" s="14" t="inlineStr">
        <is>
          <t>Chef d entreprise</t>
        </is>
      </c>
      <c r="O356" s="15" t="inlineStr">
        <is>
          <t>9153</t>
        </is>
      </c>
    </row>
    <row r="357" ht="20" customHeight="1">
      <c r="A357" s="16" t="inlineStr">
        <is>
          <t>PAEA-CCISM-0356</t>
        </is>
      </c>
      <c r="B357" s="16" t="inlineStr">
        <is>
          <t>463570</t>
        </is>
      </c>
      <c r="C357" s="17" t="inlineStr">
        <is>
          <t>FASSAIN EPSE</t>
        </is>
      </c>
      <c r="D357" s="17" t="inlineStr">
        <is>
          <t>PAEA PK 19.3 C/MONT 98711 PAEA</t>
        </is>
      </c>
      <c r="E357" s="17" t="inlineStr">
        <is>
          <t>Patenté (Personne Physique)</t>
        </is>
      </c>
      <c r="F357" s="17" t="inlineStr">
        <is>
          <t>Patenté</t>
        </is>
      </c>
      <c r="G357" s="16" t="inlineStr">
        <is>
          <t>1413Z</t>
        </is>
      </c>
      <c r="H357" s="16" t="inlineStr">
        <is>
          <t>M</t>
        </is>
      </c>
      <c r="I357" s="17" t="inlineStr">
        <is>
          <t>Métiers &amp; Artisanat</t>
        </is>
      </c>
      <c r="J357" s="18" t="n">
        <v>0</v>
      </c>
      <c r="K357" s="18" t="n">
        <v>1</v>
      </c>
      <c r="L357" s="17" t="inlineStr"/>
      <c r="M357" s="17" t="inlineStr">
        <is>
          <t>31618 A</t>
        </is>
      </c>
      <c r="N357" s="17" t="inlineStr"/>
      <c r="O357" s="18" t="inlineStr"/>
    </row>
    <row r="358" ht="20" customHeight="1">
      <c r="A358" s="13" t="inlineStr">
        <is>
          <t>PAEA-CCISM-0357</t>
        </is>
      </c>
      <c r="B358" s="13" t="inlineStr">
        <is>
          <t>407262</t>
        </is>
      </c>
      <c r="C358" s="14" t="inlineStr">
        <is>
          <t>FAUA NEE ROOINO MARIE</t>
        </is>
      </c>
      <c r="D358" s="14" t="inlineStr">
        <is>
          <t>LOTISSEMENT TE PUHAPA LOT 17 98711 PAEA</t>
        </is>
      </c>
      <c r="E358" s="14" t="inlineStr">
        <is>
          <t>Patenté (Personne Physique)</t>
        </is>
      </c>
      <c r="F358" s="14" t="inlineStr">
        <is>
          <t>Patenté</t>
        </is>
      </c>
      <c r="G358" s="13" t="inlineStr">
        <is>
          <t>3299Z</t>
        </is>
      </c>
      <c r="H358" s="13" t="inlineStr">
        <is>
          <t>M</t>
        </is>
      </c>
      <c r="I358" s="14" t="inlineStr">
        <is>
          <t>Métiers &amp; Artisanat</t>
        </is>
      </c>
      <c r="J358" s="15" t="n">
        <v>0</v>
      </c>
      <c r="K358" s="15" t="n">
        <v>1</v>
      </c>
      <c r="L358" s="14" t="inlineStr">
        <is>
          <t>22 1822 A</t>
        </is>
      </c>
      <c r="M358" s="14" t="inlineStr">
        <is>
          <t>Mme FAUA (Née ROOINO) MARIE</t>
        </is>
      </c>
      <c r="N358" s="14" t="inlineStr">
        <is>
          <t>Chef d entreprise</t>
        </is>
      </c>
      <c r="O358" s="15" t="inlineStr">
        <is>
          <t>9182</t>
        </is>
      </c>
    </row>
    <row r="359" ht="20" customHeight="1">
      <c r="A359" s="16" t="inlineStr">
        <is>
          <t>PAEA-CCISM-0358</t>
        </is>
      </c>
      <c r="B359" s="16" t="inlineStr">
        <is>
          <t>E46464</t>
        </is>
      </c>
      <c r="C359" s="17" t="inlineStr">
        <is>
          <t>FAUA VANAURA AQUISAN</t>
        </is>
      </c>
      <c r="D359" s="17" t="inlineStr">
        <is>
          <t>17 RTE LOTISSEMENT TEPUHAPA 98711 PAEA</t>
        </is>
      </c>
      <c r="E359" s="17" t="inlineStr">
        <is>
          <t>Patenté (Personne Physique)</t>
        </is>
      </c>
      <c r="F359" s="17" t="inlineStr">
        <is>
          <t>Patenté</t>
        </is>
      </c>
      <c r="G359" s="16" t="inlineStr">
        <is>
          <t>4312B</t>
        </is>
      </c>
      <c r="H359" s="16" t="inlineStr">
        <is>
          <t>M</t>
        </is>
      </c>
      <c r="I359" s="17" t="inlineStr">
        <is>
          <t>Métiers &amp; Artisanat</t>
        </is>
      </c>
      <c r="J359" s="18" t="n">
        <v>0</v>
      </c>
      <c r="K359" s="18" t="n">
        <v>1</v>
      </c>
      <c r="L359" s="17" t="inlineStr">
        <is>
          <t>21 2748 A</t>
        </is>
      </c>
      <c r="M359" s="17" t="inlineStr">
        <is>
          <t>M FAUA VANAURA AQUISAN</t>
        </is>
      </c>
      <c r="N359" s="17" t="inlineStr">
        <is>
          <t>Chef d entreprise</t>
        </is>
      </c>
      <c r="O359" s="18" t="inlineStr">
        <is>
          <t>9187</t>
        </is>
      </c>
    </row>
    <row r="360" ht="20" customHeight="1">
      <c r="A360" s="13" t="inlineStr">
        <is>
          <t>PAEA-CCISM-0359</t>
        </is>
      </c>
      <c r="B360" s="13" t="inlineStr">
        <is>
          <t>758565</t>
        </is>
      </c>
      <c r="C360" s="14" t="inlineStr">
        <is>
          <t>FAUURA FREDDY</t>
        </is>
      </c>
      <c r="D360" s="14" t="inlineStr">
        <is>
          <t>N°19 RTE MARAE ARAHURAHU 98711 PAEA</t>
        </is>
      </c>
      <c r="E360" s="14" t="inlineStr">
        <is>
          <t>Patenté (Personne Physique)</t>
        </is>
      </c>
      <c r="F360" s="14" t="inlineStr">
        <is>
          <t>Patenté</t>
        </is>
      </c>
      <c r="G360" s="13" t="inlineStr">
        <is>
          <t>3299Z</t>
        </is>
      </c>
      <c r="H360" s="13" t="inlineStr">
        <is>
          <t>M</t>
        </is>
      </c>
      <c r="I360" s="14" t="inlineStr">
        <is>
          <t>Métiers &amp; Artisanat</t>
        </is>
      </c>
      <c r="J360" s="15" t="n">
        <v>0</v>
      </c>
      <c r="K360" s="15" t="n">
        <v>1</v>
      </c>
      <c r="L360" s="14" t="inlineStr">
        <is>
          <t>19 424 A</t>
        </is>
      </c>
      <c r="M360" s="14" t="inlineStr">
        <is>
          <t>M FAUURA FREDDY</t>
        </is>
      </c>
      <c r="N360" s="14" t="inlineStr">
        <is>
          <t>Chef d entreprise</t>
        </is>
      </c>
      <c r="O360" s="15" t="inlineStr">
        <is>
          <t>9203</t>
        </is>
      </c>
    </row>
    <row r="361" ht="20" customHeight="1">
      <c r="A361" s="16" t="inlineStr">
        <is>
          <t>PAEA-CCISM-0360</t>
        </is>
      </c>
      <c r="B361" s="16" t="inlineStr">
        <is>
          <t>F22836</t>
        </is>
      </c>
      <c r="C361" s="17" t="inlineStr">
        <is>
          <t>FENUA NATURA</t>
        </is>
      </c>
      <c r="D361" s="17" t="inlineStr">
        <is>
          <t>TERRE VIHIAUARA - PARCELLE 1C - AC 440 98711 PAEA</t>
        </is>
      </c>
      <c r="E361" s="17" t="inlineStr">
        <is>
          <t>SARL</t>
        </is>
      </c>
      <c r="F361" s="17" t="inlineStr">
        <is>
          <t>Société</t>
        </is>
      </c>
      <c r="G361" s="16" t="inlineStr">
        <is>
          <t>8130Z</t>
        </is>
      </c>
      <c r="H361" s="16" t="inlineStr">
        <is>
          <t>M</t>
        </is>
      </c>
      <c r="I361" s="17" t="inlineStr">
        <is>
          <t>Métiers &amp; Artisanat</t>
        </is>
      </c>
      <c r="J361" s="18" t="n">
        <v>0</v>
      </c>
      <c r="K361" s="18" t="n">
        <v>1</v>
      </c>
      <c r="L361" s="17" t="inlineStr">
        <is>
          <t>23 49 B</t>
        </is>
      </c>
      <c r="M361" s="17" t="inlineStr">
        <is>
          <t>Mme EBB-SALMON TEHEA</t>
        </is>
      </c>
      <c r="N361" s="17" t="inlineStr">
        <is>
          <t>Gérant</t>
        </is>
      </c>
      <c r="O361" s="18" t="inlineStr">
        <is>
          <t>9228</t>
        </is>
      </c>
    </row>
    <row r="362" ht="20" customHeight="1">
      <c r="A362" s="13" t="inlineStr">
        <is>
          <t>PAEA-CCISM-0361</t>
        </is>
      </c>
      <c r="B362" s="13" t="inlineStr">
        <is>
          <t>261040</t>
        </is>
      </c>
      <c r="C362" s="14" t="inlineStr">
        <is>
          <t>FERNANDEZ JEAN-MARC</t>
        </is>
      </c>
      <c r="D362" s="14" t="inlineStr">
        <is>
          <t>PAPEHUE 98711 PAEA</t>
        </is>
      </c>
      <c r="E362" s="14" t="inlineStr">
        <is>
          <t>Patenté (Personne Physique)</t>
        </is>
      </c>
      <c r="F362" s="14" t="inlineStr">
        <is>
          <t>Patenté</t>
        </is>
      </c>
      <c r="G362" s="13" t="inlineStr">
        <is>
          <t>1071D</t>
        </is>
      </c>
      <c r="H362" s="13" t="inlineStr">
        <is>
          <t>M</t>
        </is>
      </c>
      <c r="I362" s="14" t="inlineStr">
        <is>
          <t>Métiers &amp; Artisanat</t>
        </is>
      </c>
      <c r="J362" s="15" t="n">
        <v>0</v>
      </c>
      <c r="K362" s="15" t="n">
        <v>1</v>
      </c>
      <c r="L362" s="14" t="inlineStr">
        <is>
          <t>22 1982 A</t>
        </is>
      </c>
      <c r="M362" s="14" t="inlineStr">
        <is>
          <t>M FERNANDEZ JEAN-MARC</t>
        </is>
      </c>
      <c r="N362" s="14" t="inlineStr">
        <is>
          <t>Chef d entreprise</t>
        </is>
      </c>
      <c r="O362" s="15" t="inlineStr">
        <is>
          <t>9241</t>
        </is>
      </c>
    </row>
    <row r="363" ht="20" customHeight="1">
      <c r="A363" s="16" t="inlineStr">
        <is>
          <t>PAEA-CCISM-0362</t>
        </is>
      </c>
      <c r="B363" s="16" t="inlineStr">
        <is>
          <t>649426</t>
        </is>
      </c>
      <c r="C363" s="17" t="inlineStr">
        <is>
          <t>FERRER MARC VINCENT ANDRE</t>
        </is>
      </c>
      <c r="D363" s="17" t="inlineStr">
        <is>
          <t>PAEA PK 24.300 C/MONT. 98711 PAEA</t>
        </is>
      </c>
      <c r="E363" s="17" t="inlineStr">
        <is>
          <t>Patenté (Personne Physique)</t>
        </is>
      </c>
      <c r="F363" s="17" t="inlineStr">
        <is>
          <t>Patenté</t>
        </is>
      </c>
      <c r="G363" s="16" t="inlineStr">
        <is>
          <t>4339Z</t>
        </is>
      </c>
      <c r="H363" s="16" t="inlineStr">
        <is>
          <t>M</t>
        </is>
      </c>
      <c r="I363" s="17" t="inlineStr">
        <is>
          <t>Métiers &amp; Artisanat</t>
        </is>
      </c>
      <c r="J363" s="18" t="n">
        <v>0</v>
      </c>
      <c r="K363" s="18" t="n">
        <v>1</v>
      </c>
      <c r="L363" s="17" t="inlineStr">
        <is>
          <t>42433 A</t>
        </is>
      </c>
      <c r="M363" s="17" t="inlineStr">
        <is>
          <t>M FERRER MARC VINCENT ANDRE</t>
        </is>
      </c>
      <c r="N363" s="17" t="inlineStr">
        <is>
          <t>Chef d entreprise</t>
        </is>
      </c>
      <c r="O363" s="18" t="inlineStr">
        <is>
          <t>9250</t>
        </is>
      </c>
    </row>
    <row r="364" ht="20" customHeight="1">
      <c r="A364" s="13" t="inlineStr">
        <is>
          <t>PAEA-CCISM-0363</t>
        </is>
      </c>
      <c r="B364" s="13" t="inlineStr">
        <is>
          <t>835074</t>
        </is>
      </c>
      <c r="C364" s="14" t="inlineStr">
        <is>
          <t>FLAMARION AURELIEN DIDIER</t>
        </is>
      </c>
      <c r="D364" s="14" t="inlineStr">
        <is>
          <t>PAEA PK 22 C/MONT - TAREVAREVA OROFERO 98711 PAEA</t>
        </is>
      </c>
      <c r="E364" s="14" t="inlineStr">
        <is>
          <t>Patenté (Personne Physique)</t>
        </is>
      </c>
      <c r="F364" s="14" t="inlineStr">
        <is>
          <t>Patenté</t>
        </is>
      </c>
      <c r="G364" s="13" t="inlineStr">
        <is>
          <t>4322A</t>
        </is>
      </c>
      <c r="H364" s="13" t="inlineStr">
        <is>
          <t>M</t>
        </is>
      </c>
      <c r="I364" s="14" t="inlineStr">
        <is>
          <t>Métiers &amp; Artisanat</t>
        </is>
      </c>
      <c r="J364" s="15" t="n">
        <v>0</v>
      </c>
      <c r="K364" s="15" t="n">
        <v>1</v>
      </c>
      <c r="L364" s="14" t="inlineStr">
        <is>
          <t>07 1351 A</t>
        </is>
      </c>
      <c r="M364" s="14" t="inlineStr">
        <is>
          <t>M FLAMARION AURELIEN DIDIER</t>
        </is>
      </c>
      <c r="N364" s="14" t="inlineStr">
        <is>
          <t>Chef d entreprise</t>
        </is>
      </c>
      <c r="O364" s="15" t="inlineStr">
        <is>
          <t>9287</t>
        </is>
      </c>
    </row>
    <row r="365" ht="20" customHeight="1">
      <c r="A365" s="16" t="inlineStr">
        <is>
          <t>PAEA-CCISM-0364</t>
        </is>
      </c>
      <c r="B365" s="16" t="inlineStr">
        <is>
          <t>773499</t>
        </is>
      </c>
      <c r="C365" s="17" t="inlineStr">
        <is>
          <t>FLEUR ALAIN</t>
        </is>
      </c>
      <c r="D365" s="17" t="inlineStr">
        <is>
          <t>OROFERO 98711 PAEA</t>
        </is>
      </c>
      <c r="E365" s="17" t="inlineStr">
        <is>
          <t>Patenté (Personne Physique)</t>
        </is>
      </c>
      <c r="F365" s="17" t="inlineStr">
        <is>
          <t>Patenté</t>
        </is>
      </c>
      <c r="G365" s="16" t="inlineStr">
        <is>
          <t>4520A</t>
        </is>
      </c>
      <c r="H365" s="16" t="inlineStr">
        <is>
          <t>M</t>
        </is>
      </c>
      <c r="I365" s="17" t="inlineStr">
        <is>
          <t>Métiers &amp; Artisanat</t>
        </is>
      </c>
      <c r="J365" s="18" t="n">
        <v>0</v>
      </c>
      <c r="K365" s="18" t="n">
        <v>1</v>
      </c>
      <c r="L365" s="17" t="inlineStr">
        <is>
          <t>21 2281 A</t>
        </is>
      </c>
      <c r="M365" s="17" t="inlineStr">
        <is>
          <t>M FLEUR ALAIN</t>
        </is>
      </c>
      <c r="N365" s="17" t="inlineStr">
        <is>
          <t>Chef d entreprise</t>
        </is>
      </c>
      <c r="O365" s="18" t="inlineStr">
        <is>
          <t>9288</t>
        </is>
      </c>
    </row>
    <row r="366" ht="20" customHeight="1">
      <c r="A366" s="13" t="inlineStr">
        <is>
          <t>PAEA-CCISM-0365</t>
        </is>
      </c>
      <c r="B366" s="13" t="inlineStr">
        <is>
          <t>A45382</t>
        </is>
      </c>
      <c r="C366" s="14" t="inlineStr">
        <is>
          <t>FLEUR MARIO ROLAND</t>
        </is>
      </c>
      <c r="D366" s="14" t="inlineStr">
        <is>
          <t>PAEA PK 24.800 C/MER 98711 PAEA</t>
        </is>
      </c>
      <c r="E366" s="14" t="inlineStr">
        <is>
          <t>Patenté (Personne Physique)</t>
        </is>
      </c>
      <c r="F366" s="14" t="inlineStr">
        <is>
          <t>Patenté</t>
        </is>
      </c>
      <c r="G366" s="13" t="inlineStr">
        <is>
          <t>4520A</t>
        </is>
      </c>
      <c r="H366" s="13" t="inlineStr">
        <is>
          <t>M</t>
        </is>
      </c>
      <c r="I366" s="14" t="inlineStr">
        <is>
          <t>Métiers &amp; Artisanat</t>
        </is>
      </c>
      <c r="J366" s="15" t="n">
        <v>0</v>
      </c>
      <c r="K366" s="15" t="n">
        <v>1</v>
      </c>
      <c r="L366" s="14" t="inlineStr">
        <is>
          <t>12 1910 A</t>
        </is>
      </c>
      <c r="M366" s="14" t="inlineStr">
        <is>
          <t>M FLEUR MARIO ROLAND</t>
        </is>
      </c>
      <c r="N366" s="14" t="inlineStr">
        <is>
          <t>Chef d entreprise</t>
        </is>
      </c>
      <c r="O366" s="15" t="inlineStr">
        <is>
          <t>9290</t>
        </is>
      </c>
    </row>
    <row r="367" ht="20" customHeight="1">
      <c r="A367" s="16" t="inlineStr">
        <is>
          <t>PAEA-CCISM-0366</t>
        </is>
      </c>
      <c r="B367" s="16" t="inlineStr">
        <is>
          <t>853101</t>
        </is>
      </c>
      <c r="C367" s="17" t="inlineStr">
        <is>
          <t>FLORES NEE TARAIHAU LUCIE</t>
        </is>
      </c>
      <c r="D367" s="17" t="inlineStr">
        <is>
          <t>VALLEE OROFERO C/MONT 98711 PAEA</t>
        </is>
      </c>
      <c r="E367" s="17" t="inlineStr">
        <is>
          <t>Patenté (Personne Physique)</t>
        </is>
      </c>
      <c r="F367" s="17" t="inlineStr">
        <is>
          <t>Patenté</t>
        </is>
      </c>
      <c r="G367" s="16" t="inlineStr">
        <is>
          <t>9602B</t>
        </is>
      </c>
      <c r="H367" s="16" t="inlineStr">
        <is>
          <t>M</t>
        </is>
      </c>
      <c r="I367" s="17" t="inlineStr">
        <is>
          <t>Métiers &amp; Artisanat</t>
        </is>
      </c>
      <c r="J367" s="18" t="n">
        <v>0</v>
      </c>
      <c r="K367" s="18" t="n">
        <v>1</v>
      </c>
      <c r="L367" s="17" t="inlineStr">
        <is>
          <t>22 2110 A</t>
        </is>
      </c>
      <c r="M367" s="17" t="inlineStr">
        <is>
          <t>Mme FLORES (Née TARAIHAU) LUCIE</t>
        </is>
      </c>
      <c r="N367" s="17" t="inlineStr">
        <is>
          <t>Chef d entreprise</t>
        </is>
      </c>
      <c r="O367" s="18" t="inlineStr">
        <is>
          <t>9316</t>
        </is>
      </c>
    </row>
    <row r="368" ht="20" customHeight="1">
      <c r="A368" s="13" t="inlineStr">
        <is>
          <t>PAEA-CCISM-0367</t>
        </is>
      </c>
      <c r="B368" s="13" t="inlineStr">
        <is>
          <t>A63005</t>
        </is>
      </c>
      <c r="C368" s="14" t="inlineStr">
        <is>
          <t>FORNET ROMAIN ALAIN AMAURY</t>
        </is>
      </c>
      <c r="D368" s="14" t="inlineStr">
        <is>
          <t>VILLA VAHITUA 98711 PAEA</t>
        </is>
      </c>
      <c r="E368" s="14" t="inlineStr">
        <is>
          <t>Patenté (Personne Physique)</t>
        </is>
      </c>
      <c r="F368" s="14" t="inlineStr">
        <is>
          <t>Patenté</t>
        </is>
      </c>
      <c r="G368" s="13" t="inlineStr">
        <is>
          <t>4332A</t>
        </is>
      </c>
      <c r="H368" s="13" t="inlineStr">
        <is>
          <t>M</t>
        </is>
      </c>
      <c r="I368" s="14" t="inlineStr">
        <is>
          <t>Métiers &amp; Artisanat</t>
        </is>
      </c>
      <c r="J368" s="15" t="n">
        <v>0</v>
      </c>
      <c r="K368" s="15" t="n">
        <v>1</v>
      </c>
      <c r="L368" s="14" t="inlineStr">
        <is>
          <t>13 595 A</t>
        </is>
      </c>
      <c r="M368" s="14" t="inlineStr">
        <is>
          <t>M FORNET ROMAIN ALAIN AMAURY</t>
        </is>
      </c>
      <c r="N368" s="14" t="inlineStr">
        <is>
          <t>Chef d entreprise</t>
        </is>
      </c>
      <c r="O368" s="15" t="inlineStr">
        <is>
          <t>9341</t>
        </is>
      </c>
    </row>
    <row r="369" ht="20" customHeight="1">
      <c r="A369" s="16" t="inlineStr">
        <is>
          <t>PAEA-CCISM-0368</t>
        </is>
      </c>
      <c r="B369" s="16" t="inlineStr">
        <is>
          <t>725952</t>
        </is>
      </c>
      <c r="C369" s="17" t="inlineStr">
        <is>
          <t>FOTUNATI MAGALI</t>
        </is>
      </c>
      <c r="D369" s="17" t="inlineStr">
        <is>
          <t>PAEA PK 24.800 C/MER 98711 PAEA</t>
        </is>
      </c>
      <c r="E369" s="17" t="inlineStr">
        <is>
          <t>Patenté (Personne Physique)</t>
        </is>
      </c>
      <c r="F369" s="17" t="inlineStr">
        <is>
          <t>Patenté</t>
        </is>
      </c>
      <c r="G369" s="16" t="inlineStr">
        <is>
          <t>8121Z</t>
        </is>
      </c>
      <c r="H369" s="16" t="inlineStr">
        <is>
          <t>M</t>
        </is>
      </c>
      <c r="I369" s="17" t="inlineStr">
        <is>
          <t>Métiers &amp; Artisanat</t>
        </is>
      </c>
      <c r="J369" s="18" t="n">
        <v>1</v>
      </c>
      <c r="K369" s="18" t="n">
        <v>1</v>
      </c>
      <c r="L369" s="17" t="inlineStr">
        <is>
          <t>05 94 A</t>
        </is>
      </c>
      <c r="M369" s="17" t="inlineStr">
        <is>
          <t>Mme FORTUNATI MAGALI MARIA</t>
        </is>
      </c>
      <c r="N369" s="17" t="inlineStr">
        <is>
          <t>Chef d entreprise</t>
        </is>
      </c>
      <c r="O369" s="18" t="inlineStr">
        <is>
          <t>9349</t>
        </is>
      </c>
    </row>
    <row r="370" ht="20" customHeight="1">
      <c r="A370" s="13" t="inlineStr">
        <is>
          <t>PAEA-CCISM-0369</t>
        </is>
      </c>
      <c r="B370" s="13" t="inlineStr">
        <is>
          <t>F02242</t>
        </is>
      </c>
      <c r="C370" s="14" t="inlineStr">
        <is>
          <t>FOURNIER CLOTILDE</t>
        </is>
      </c>
      <c r="D370" s="14" t="inlineStr">
        <is>
          <t>98711 PAEA</t>
        </is>
      </c>
      <c r="E370" s="14" t="inlineStr">
        <is>
          <t>Patenté (Personne Physique)</t>
        </is>
      </c>
      <c r="F370" s="14" t="inlineStr">
        <is>
          <t>Patenté</t>
        </is>
      </c>
      <c r="G370" s="13" t="inlineStr">
        <is>
          <t>9602B</t>
        </is>
      </c>
      <c r="H370" s="13" t="inlineStr">
        <is>
          <t>M</t>
        </is>
      </c>
      <c r="I370" s="14" t="inlineStr">
        <is>
          <t>Métiers &amp; Artisanat</t>
        </is>
      </c>
      <c r="J370" s="15" t="n">
        <v>0</v>
      </c>
      <c r="K370" s="15" t="n">
        <v>1</v>
      </c>
      <c r="L370" s="14" t="inlineStr">
        <is>
          <t>22 2845 A</t>
        </is>
      </c>
      <c r="M370" s="14" t="inlineStr">
        <is>
          <t>Mme FOURNIER CLOTILDE</t>
        </is>
      </c>
      <c r="N370" s="14" t="inlineStr">
        <is>
          <t>Chef d entreprise</t>
        </is>
      </c>
      <c r="O370" s="15" t="inlineStr">
        <is>
          <t>9364</t>
        </is>
      </c>
    </row>
    <row r="371" ht="20" customHeight="1">
      <c r="A371" s="16" t="inlineStr">
        <is>
          <t>PAEA-CCISM-0370</t>
        </is>
      </c>
      <c r="B371" s="16" t="inlineStr">
        <is>
          <t>E52678</t>
        </is>
      </c>
      <c r="C371" s="17" t="inlineStr">
        <is>
          <t>FROGIER JONATHAN EVERETT</t>
        </is>
      </c>
      <c r="D371" s="17" t="inlineStr">
        <is>
          <t>98711 PAEA</t>
        </is>
      </c>
      <c r="E371" s="17" t="inlineStr">
        <is>
          <t>Patenté (Personne Physique)</t>
        </is>
      </c>
      <c r="F371" s="17" t="inlineStr">
        <is>
          <t>Patenté</t>
        </is>
      </c>
      <c r="G371" s="16" t="inlineStr">
        <is>
          <t>4520A</t>
        </is>
      </c>
      <c r="H371" s="16" t="inlineStr">
        <is>
          <t>M</t>
        </is>
      </c>
      <c r="I371" s="17" t="inlineStr">
        <is>
          <t>Métiers &amp; Artisanat</t>
        </is>
      </c>
      <c r="J371" s="18" t="n">
        <v>0</v>
      </c>
      <c r="K371" s="18" t="n">
        <v>1</v>
      </c>
      <c r="L371" s="17" t="inlineStr">
        <is>
          <t>21 3030 A</t>
        </is>
      </c>
      <c r="M371" s="17" t="inlineStr">
        <is>
          <t>M FROGIER JONATHAN EVERETT</t>
        </is>
      </c>
      <c r="N371" s="17" t="inlineStr">
        <is>
          <t>Chef d entreprise</t>
        </is>
      </c>
      <c r="O371" s="18" t="inlineStr">
        <is>
          <t>9401</t>
        </is>
      </c>
    </row>
    <row r="372" ht="20" customHeight="1">
      <c r="A372" s="13" t="inlineStr">
        <is>
          <t>PAEA-CCISM-0371</t>
        </is>
      </c>
      <c r="B372" s="13" t="inlineStr">
        <is>
          <t>616821</t>
        </is>
      </c>
      <c r="C372" s="14" t="inlineStr">
        <is>
          <t>FRY NEE WONG PO DORA</t>
        </is>
      </c>
      <c r="D372" s="14" t="inlineStr">
        <is>
          <t>VALLEE OROFERO 98711 PAEA</t>
        </is>
      </c>
      <c r="E372" s="14" t="inlineStr">
        <is>
          <t>Patenté (Personne Physique)</t>
        </is>
      </c>
      <c r="F372" s="14" t="inlineStr">
        <is>
          <t>Patenté</t>
        </is>
      </c>
      <c r="G372" s="13" t="inlineStr">
        <is>
          <t>4333Z</t>
        </is>
      </c>
      <c r="H372" s="13" t="inlineStr">
        <is>
          <t>M</t>
        </is>
      </c>
      <c r="I372" s="14" t="inlineStr">
        <is>
          <t>Métiers &amp; Artisanat</t>
        </is>
      </c>
      <c r="J372" s="15" t="n">
        <v>0</v>
      </c>
      <c r="K372" s="15" t="n">
        <v>1</v>
      </c>
      <c r="L372" s="14" t="inlineStr">
        <is>
          <t>13 972 A</t>
        </is>
      </c>
      <c r="M372" s="14" t="inlineStr">
        <is>
          <t>Mme FRY (Née WONG PO) DORA</t>
        </is>
      </c>
      <c r="N372" s="14" t="inlineStr">
        <is>
          <t>Chef d entreprise</t>
        </is>
      </c>
      <c r="O372" s="15" t="inlineStr">
        <is>
          <t>9411</t>
        </is>
      </c>
    </row>
    <row r="373" ht="20" customHeight="1">
      <c r="A373" s="16" t="inlineStr">
        <is>
          <t>PAEA-CCISM-0372</t>
        </is>
      </c>
      <c r="B373" s="16" t="inlineStr">
        <is>
          <t>B85931</t>
        </is>
      </c>
      <c r="C373" s="17" t="inlineStr">
        <is>
          <t>FULLER FREDDY</t>
        </is>
      </c>
      <c r="D373" s="17" t="inlineStr">
        <is>
          <t>98711 PAEA</t>
        </is>
      </c>
      <c r="E373" s="17" t="inlineStr">
        <is>
          <t>Patenté (Personne Physique)</t>
        </is>
      </c>
      <c r="F373" s="17" t="inlineStr">
        <is>
          <t>Patenté</t>
        </is>
      </c>
      <c r="G373" s="16" t="inlineStr">
        <is>
          <t>4339Z</t>
        </is>
      </c>
      <c r="H373" s="16" t="inlineStr">
        <is>
          <t>M</t>
        </is>
      </c>
      <c r="I373" s="17" t="inlineStr">
        <is>
          <t>Métiers &amp; Artisanat</t>
        </is>
      </c>
      <c r="J373" s="18" t="n">
        <v>0</v>
      </c>
      <c r="K373" s="18" t="n">
        <v>1</v>
      </c>
      <c r="L373" s="17" t="inlineStr">
        <is>
          <t>16 646 A</t>
        </is>
      </c>
      <c r="M373" s="17" t="inlineStr">
        <is>
          <t>M FULLER FREDDY</t>
        </is>
      </c>
      <c r="N373" s="17" t="inlineStr">
        <is>
          <t>Chef d entreprise</t>
        </is>
      </c>
      <c r="O373" s="18" t="inlineStr">
        <is>
          <t>9417</t>
        </is>
      </c>
    </row>
    <row r="374" ht="20" customHeight="1">
      <c r="A374" s="13" t="inlineStr">
        <is>
          <t>PAEA-CCISM-0373</t>
        </is>
      </c>
      <c r="B374" s="13" t="inlineStr">
        <is>
          <t>E17176</t>
        </is>
      </c>
      <c r="C374" s="14" t="inlineStr">
        <is>
          <t>GADAN MAEL</t>
        </is>
      </c>
      <c r="D374" s="14" t="inlineStr">
        <is>
          <t>RTE DU LOTISSEMENT PAPEHUE LOT 35 98711 PAEA</t>
        </is>
      </c>
      <c r="E374" s="14" t="inlineStr">
        <is>
          <t>Patenté (Personne Physique)</t>
        </is>
      </c>
      <c r="F374" s="14" t="inlineStr">
        <is>
          <t>Patenté</t>
        </is>
      </c>
      <c r="G374" s="13" t="inlineStr">
        <is>
          <t>4339Z</t>
        </is>
      </c>
      <c r="H374" s="13" t="inlineStr">
        <is>
          <t>M</t>
        </is>
      </c>
      <c r="I374" s="14" t="inlineStr">
        <is>
          <t>Métiers &amp; Artisanat</t>
        </is>
      </c>
      <c r="J374" s="15" t="n">
        <v>0</v>
      </c>
      <c r="K374" s="15" t="n">
        <v>1</v>
      </c>
      <c r="L374" s="14" t="inlineStr">
        <is>
          <t>21 818 A</t>
        </is>
      </c>
      <c r="M374" s="14" t="inlineStr">
        <is>
          <t>M GADAN MAEL</t>
        </is>
      </c>
      <c r="N374" s="14" t="inlineStr">
        <is>
          <t>Chef d entreprise</t>
        </is>
      </c>
      <c r="O374" s="15" t="inlineStr">
        <is>
          <t>9428</t>
        </is>
      </c>
    </row>
    <row r="375" ht="20" customHeight="1">
      <c r="A375" s="16" t="inlineStr">
        <is>
          <t>PAEA-CCISM-0374</t>
        </is>
      </c>
      <c r="B375" s="16" t="inlineStr">
        <is>
          <t>449322</t>
        </is>
      </c>
      <c r="C375" s="17" t="inlineStr">
        <is>
          <t>GADEN NEE HUCK TUMATA</t>
        </is>
      </c>
      <c r="D375" s="17" t="inlineStr">
        <is>
          <t>QTIER FANIU 98711 PAEA</t>
        </is>
      </c>
      <c r="E375" s="17" t="inlineStr">
        <is>
          <t>Patenté (Personne Physique)</t>
        </is>
      </c>
      <c r="F375" s="17" t="inlineStr">
        <is>
          <t>Patenté</t>
        </is>
      </c>
      <c r="G375" s="16" t="inlineStr">
        <is>
          <t>3299Z</t>
        </is>
      </c>
      <c r="H375" s="16" t="inlineStr">
        <is>
          <t>M</t>
        </is>
      </c>
      <c r="I375" s="17" t="inlineStr">
        <is>
          <t>Métiers &amp; Artisanat</t>
        </is>
      </c>
      <c r="J375" s="18" t="n">
        <v>0</v>
      </c>
      <c r="K375" s="18" t="n">
        <v>1</v>
      </c>
      <c r="L375" s="17" t="inlineStr">
        <is>
          <t>22 759 A</t>
        </is>
      </c>
      <c r="M375" s="17" t="inlineStr">
        <is>
          <t>Mme GADEN (Née HUCK) TUMATA</t>
        </is>
      </c>
      <c r="N375" s="17" t="inlineStr">
        <is>
          <t>Chef d entreprise</t>
        </is>
      </c>
      <c r="O375" s="18" t="inlineStr">
        <is>
          <t>9429</t>
        </is>
      </c>
    </row>
    <row r="376" ht="20" customHeight="1">
      <c r="A376" s="13" t="inlineStr">
        <is>
          <t>PAEA-CCISM-0375</t>
        </is>
      </c>
      <c r="B376" s="13" t="inlineStr">
        <is>
          <t>E96352</t>
        </is>
      </c>
      <c r="C376" s="14" t="inlineStr">
        <is>
          <t>GARBUTT ERNEST</t>
        </is>
      </c>
      <c r="D376" s="14" t="inlineStr">
        <is>
          <t>N°19 RTE DU LOTISSEMENT TE PUHAPA RESIDENCE TE PUHAPA 98711 PAEA</t>
        </is>
      </c>
      <c r="E376" s="14" t="inlineStr">
        <is>
          <t>Patenté (Personne Physique)</t>
        </is>
      </c>
      <c r="F376" s="14" t="inlineStr">
        <is>
          <t>Patenté</t>
        </is>
      </c>
      <c r="G376" s="13" t="inlineStr">
        <is>
          <t>4932Z</t>
        </is>
      </c>
      <c r="H376" s="13" t="inlineStr">
        <is>
          <t>M</t>
        </is>
      </c>
      <c r="I376" s="14" t="inlineStr">
        <is>
          <t>Métiers &amp; Artisanat</t>
        </is>
      </c>
      <c r="J376" s="15" t="n">
        <v>0</v>
      </c>
      <c r="K376" s="15" t="n">
        <v>1</v>
      </c>
      <c r="L376" s="14" t="inlineStr">
        <is>
          <t>22 2489 A</t>
        </is>
      </c>
      <c r="M376" s="14" t="inlineStr">
        <is>
          <t>M GARBUTT ERNEST</t>
        </is>
      </c>
      <c r="N376" s="14" t="inlineStr">
        <is>
          <t>Chef d entreprise</t>
        </is>
      </c>
      <c r="O376" s="15" t="inlineStr">
        <is>
          <t>9461</t>
        </is>
      </c>
    </row>
    <row r="377" ht="20" customHeight="1">
      <c r="A377" s="16" t="inlineStr">
        <is>
          <t>PAEA-CCISM-0376</t>
        </is>
      </c>
      <c r="B377" s="16" t="inlineStr">
        <is>
          <t>735654</t>
        </is>
      </c>
      <c r="C377" s="17" t="inlineStr">
        <is>
          <t>GASSER SUSANNE</t>
        </is>
      </c>
      <c r="D377" s="17" t="inlineStr">
        <is>
          <t>PAEA C/O PENSION TE MITI 98711 PAEA</t>
        </is>
      </c>
      <c r="E377" s="17" t="inlineStr">
        <is>
          <t>Patenté (Personne Physique)</t>
        </is>
      </c>
      <c r="F377" s="17" t="inlineStr">
        <is>
          <t>Patenté</t>
        </is>
      </c>
      <c r="G377" s="16" t="inlineStr">
        <is>
          <t>7430Z</t>
        </is>
      </c>
      <c r="H377" s="16" t="inlineStr">
        <is>
          <t>M</t>
        </is>
      </c>
      <c r="I377" s="17" t="inlineStr">
        <is>
          <t>Métiers &amp; Artisanat</t>
        </is>
      </c>
      <c r="J377" s="18" t="n">
        <v>0</v>
      </c>
      <c r="K377" s="18" t="n">
        <v>1</v>
      </c>
      <c r="L377" s="17" t="inlineStr">
        <is>
          <t>05 658 A</t>
        </is>
      </c>
      <c r="M377" s="17" t="inlineStr">
        <is>
          <t>Mme GASSER SUSANNE</t>
        </is>
      </c>
      <c r="N377" s="17" t="inlineStr">
        <is>
          <t>Chef d entreprise</t>
        </is>
      </c>
      <c r="O377" s="18" t="inlineStr">
        <is>
          <t>9490</t>
        </is>
      </c>
    </row>
    <row r="378" ht="20" customHeight="1">
      <c r="A378" s="13" t="inlineStr">
        <is>
          <t>PAEA-CCISM-0377</t>
        </is>
      </c>
      <c r="B378" s="13" t="inlineStr">
        <is>
          <t>E83913</t>
        </is>
      </c>
      <c r="C378" s="14" t="inlineStr">
        <is>
          <t>GASSET REMY JEAN</t>
        </is>
      </c>
      <c r="D378" s="14" t="inlineStr">
        <is>
          <t>PROPRIETE FAGNEAUX - LOT 1E-3 98711 PAEA</t>
        </is>
      </c>
      <c r="E378" s="14" t="inlineStr">
        <is>
          <t>Patenté (Personne Physique)</t>
        </is>
      </c>
      <c r="F378" s="14" t="inlineStr">
        <is>
          <t>Patenté</t>
        </is>
      </c>
      <c r="G378" s="13" t="inlineStr">
        <is>
          <t>1071C</t>
        </is>
      </c>
      <c r="H378" s="13" t="inlineStr">
        <is>
          <t>M</t>
        </is>
      </c>
      <c r="I378" s="14" t="inlineStr">
        <is>
          <t>Métiers &amp; Artisanat</t>
        </is>
      </c>
      <c r="J378" s="15" t="n">
        <v>0</v>
      </c>
      <c r="K378" s="15" t="n">
        <v>1</v>
      </c>
      <c r="L378" s="14" t="inlineStr">
        <is>
          <t>22 1693 A</t>
        </is>
      </c>
      <c r="M378" s="14" t="inlineStr">
        <is>
          <t>M GASSET REMY JEAN</t>
        </is>
      </c>
      <c r="N378" s="14" t="inlineStr">
        <is>
          <t>Chef d entreprise</t>
        </is>
      </c>
      <c r="O378" s="15" t="inlineStr">
        <is>
          <t>9491</t>
        </is>
      </c>
    </row>
    <row r="379" ht="20" customHeight="1">
      <c r="A379" s="16" t="inlineStr">
        <is>
          <t>PAEA-CCISM-0378</t>
        </is>
      </c>
      <c r="B379" s="16" t="inlineStr">
        <is>
          <t>862359</t>
        </is>
      </c>
      <c r="C379" s="17" t="inlineStr">
        <is>
          <t>GAULTIER VINCENT NICOLAS</t>
        </is>
      </c>
      <c r="D379" s="17" t="inlineStr">
        <is>
          <t>98711 PAEA</t>
        </is>
      </c>
      <c r="E379" s="17" t="inlineStr">
        <is>
          <t>Patenté (Personne Physique)</t>
        </is>
      </c>
      <c r="F379" s="17" t="inlineStr">
        <is>
          <t>Patenté</t>
        </is>
      </c>
      <c r="G379" s="16" t="inlineStr">
        <is>
          <t>4322A</t>
        </is>
      </c>
      <c r="H379" s="16" t="inlineStr">
        <is>
          <t>M</t>
        </is>
      </c>
      <c r="I379" s="17" t="inlineStr">
        <is>
          <t>Métiers &amp; Artisanat</t>
        </is>
      </c>
      <c r="J379" s="18" t="n">
        <v>0</v>
      </c>
      <c r="K379" s="18" t="n">
        <v>1</v>
      </c>
      <c r="L379" s="17" t="inlineStr">
        <is>
          <t>19 3046 A</t>
        </is>
      </c>
      <c r="M379" s="17" t="inlineStr">
        <is>
          <t>M GAULTIER VINCENT NICOLAS</t>
        </is>
      </c>
      <c r="N379" s="17" t="inlineStr">
        <is>
          <t>Chef d entreprise</t>
        </is>
      </c>
      <c r="O379" s="18" t="inlineStr">
        <is>
          <t>9504</t>
        </is>
      </c>
    </row>
    <row r="380" ht="20" customHeight="1">
      <c r="A380" s="13" t="inlineStr">
        <is>
          <t>PAEA-CCISM-0379</t>
        </is>
      </c>
      <c r="B380" s="13" t="inlineStr">
        <is>
          <t>C23070</t>
        </is>
      </c>
      <c r="C380" s="14" t="inlineStr">
        <is>
          <t>GAUTHIER STEVE SIMON JEAN</t>
        </is>
      </c>
      <c r="D380" s="14" t="inlineStr">
        <is>
          <t>SERV TERIITUA 98711 PAEA</t>
        </is>
      </c>
      <c r="E380" s="14" t="inlineStr">
        <is>
          <t>Patenté (Personne Physique)</t>
        </is>
      </c>
      <c r="F380" s="14" t="inlineStr">
        <is>
          <t>Patenté</t>
        </is>
      </c>
      <c r="G380" s="13" t="inlineStr">
        <is>
          <t>4321A</t>
        </is>
      </c>
      <c r="H380" s="13" t="inlineStr">
        <is>
          <t>M</t>
        </is>
      </c>
      <c r="I380" s="14" t="inlineStr">
        <is>
          <t>Métiers &amp; Artisanat</t>
        </is>
      </c>
      <c r="J380" s="15" t="n">
        <v>0</v>
      </c>
      <c r="K380" s="15" t="n">
        <v>1</v>
      </c>
      <c r="L380" s="14" t="inlineStr">
        <is>
          <t>17 122 A</t>
        </is>
      </c>
      <c r="M380" s="14" t="inlineStr">
        <is>
          <t>M GAUTHIER STEVE SIMON JEAN</t>
        </is>
      </c>
      <c r="N380" s="14" t="inlineStr">
        <is>
          <t>Chef d entreprise</t>
        </is>
      </c>
      <c r="O380" s="15" t="inlineStr">
        <is>
          <t>9509</t>
        </is>
      </c>
    </row>
    <row r="381" ht="20" customHeight="1">
      <c r="A381" s="16" t="inlineStr">
        <is>
          <t>PAEA-CCISM-0380</t>
        </is>
      </c>
      <c r="B381" s="16" t="inlineStr">
        <is>
          <t>803429</t>
        </is>
      </c>
      <c r="C381" s="17" t="inlineStr">
        <is>
          <t>GEBHARDT OLIVIER</t>
        </is>
      </c>
      <c r="D381" s="17" t="inlineStr">
        <is>
          <t>98711 PAEA</t>
        </is>
      </c>
      <c r="E381" s="17" t="inlineStr">
        <is>
          <t>Patenté (Personne Physique)</t>
        </is>
      </c>
      <c r="F381" s="17" t="inlineStr">
        <is>
          <t>Patenté</t>
        </is>
      </c>
      <c r="G381" s="16" t="inlineStr">
        <is>
          <t>4339Z</t>
        </is>
      </c>
      <c r="H381" s="16" t="inlineStr">
        <is>
          <t>M</t>
        </is>
      </c>
      <c r="I381" s="17" t="inlineStr">
        <is>
          <t>Métiers &amp; Artisanat</t>
        </is>
      </c>
      <c r="J381" s="18" t="n">
        <v>3</v>
      </c>
      <c r="K381" s="18" t="n">
        <v>1</v>
      </c>
      <c r="L381" s="17" t="inlineStr">
        <is>
          <t>17 1477 A</t>
        </is>
      </c>
      <c r="M381" s="17" t="inlineStr">
        <is>
          <t>M GEBHARDT OLIVIER</t>
        </is>
      </c>
      <c r="N381" s="17" t="inlineStr">
        <is>
          <t>Chef d entreprise</t>
        </is>
      </c>
      <c r="O381" s="18" t="inlineStr">
        <is>
          <t>9517</t>
        </is>
      </c>
    </row>
    <row r="382" ht="20" customHeight="1">
      <c r="A382" s="13" t="inlineStr">
        <is>
          <t>PAEA-CCISM-0381</t>
        </is>
      </c>
      <c r="B382" s="13" t="inlineStr">
        <is>
          <t>F47346</t>
        </is>
      </c>
      <c r="C382" s="14" t="inlineStr">
        <is>
          <t>GFELLER HOKULE'A</t>
        </is>
      </c>
      <c r="D382" s="14" t="inlineStr">
        <is>
          <t>98711 PAEA</t>
        </is>
      </c>
      <c r="E382" s="14" t="inlineStr">
        <is>
          <t>Patenté (Personne Physique)</t>
        </is>
      </c>
      <c r="F382" s="14" t="inlineStr">
        <is>
          <t>Patenté</t>
        </is>
      </c>
      <c r="G382" s="13" t="inlineStr">
        <is>
          <t>4520A</t>
        </is>
      </c>
      <c r="H382" s="13" t="inlineStr">
        <is>
          <t>M</t>
        </is>
      </c>
      <c r="I382" s="14" t="inlineStr">
        <is>
          <t>Métiers &amp; Artisanat</t>
        </is>
      </c>
      <c r="J382" s="15" t="n">
        <v>0</v>
      </c>
      <c r="K382" s="15" t="n">
        <v>1</v>
      </c>
      <c r="L382" s="14" t="inlineStr">
        <is>
          <t>23 2210 A</t>
        </is>
      </c>
      <c r="M382" s="14" t="inlineStr">
        <is>
          <t>M GFELLER HOKULE'A</t>
        </is>
      </c>
      <c r="N382" s="14" t="inlineStr">
        <is>
          <t>Chef d entreprise</t>
        </is>
      </c>
      <c r="O382" s="15" t="inlineStr">
        <is>
          <t>9565</t>
        </is>
      </c>
    </row>
    <row r="383" ht="20" customHeight="1">
      <c r="A383" s="16" t="inlineStr">
        <is>
          <t>PAEA-CCISM-0382</t>
        </is>
      </c>
      <c r="B383" s="16" t="inlineStr">
        <is>
          <t>F38394</t>
        </is>
      </c>
      <c r="C383" s="17" t="inlineStr">
        <is>
          <t>GODARD THIERRY</t>
        </is>
      </c>
      <c r="D383" s="17" t="inlineStr">
        <is>
          <t>RES LES BOUGAINVILLEES 98711 PAEA</t>
        </is>
      </c>
      <c r="E383" s="17" t="inlineStr">
        <is>
          <t>Patenté (Personne Physique)</t>
        </is>
      </c>
      <c r="F383" s="17" t="inlineStr">
        <is>
          <t>Patenté</t>
        </is>
      </c>
      <c r="G383" s="16" t="inlineStr">
        <is>
          <t>3315Z</t>
        </is>
      </c>
      <c r="H383" s="16" t="inlineStr">
        <is>
          <t>M</t>
        </is>
      </c>
      <c r="I383" s="17" t="inlineStr">
        <is>
          <t>Métiers &amp; Artisanat</t>
        </is>
      </c>
      <c r="J383" s="18" t="n">
        <v>0</v>
      </c>
      <c r="K383" s="18" t="n">
        <v>1</v>
      </c>
      <c r="L383" s="17" t="inlineStr">
        <is>
          <t>23 1613 A</t>
        </is>
      </c>
      <c r="M383" s="17" t="inlineStr">
        <is>
          <t>M GODARD THIERRY</t>
        </is>
      </c>
      <c r="N383" s="17" t="inlineStr">
        <is>
          <t>Chef d entreprise</t>
        </is>
      </c>
      <c r="O383" s="18" t="inlineStr">
        <is>
          <t>9608</t>
        </is>
      </c>
    </row>
    <row r="384" ht="20" customHeight="1">
      <c r="A384" s="13" t="inlineStr">
        <is>
          <t>PAEA-CCISM-0383</t>
        </is>
      </c>
      <c r="B384" s="13" t="inlineStr">
        <is>
          <t>F96590</t>
        </is>
      </c>
      <c r="C384" s="14" t="inlineStr">
        <is>
          <t>GODEFROY JULIE</t>
        </is>
      </c>
      <c r="D384" s="14" t="inlineStr">
        <is>
          <t>RESIDENCE LES BOUGAINVILLIERS APPT 202 98711 PAEA</t>
        </is>
      </c>
      <c r="E384" s="14" t="inlineStr">
        <is>
          <t>Patenté (Personne Physique)</t>
        </is>
      </c>
      <c r="F384" s="14" t="inlineStr">
        <is>
          <t>Patenté</t>
        </is>
      </c>
      <c r="G384" s="13" t="inlineStr">
        <is>
          <t>8121Z</t>
        </is>
      </c>
      <c r="H384" s="13" t="inlineStr">
        <is>
          <t>M</t>
        </is>
      </c>
      <c r="I384" s="14" t="inlineStr">
        <is>
          <t>Métiers &amp; Artisanat</t>
        </is>
      </c>
      <c r="J384" s="15" t="n">
        <v>0</v>
      </c>
      <c r="K384" s="15" t="n">
        <v>1</v>
      </c>
      <c r="L384" s="14" t="inlineStr">
        <is>
          <t>24 2111 A</t>
        </is>
      </c>
      <c r="M384" s="14" t="inlineStr">
        <is>
          <t>Mme GODEFROY JULIE</t>
        </is>
      </c>
      <c r="N384" s="14" t="inlineStr">
        <is>
          <t>Chef d entreprise</t>
        </is>
      </c>
      <c r="O384" s="15" t="inlineStr">
        <is>
          <t>9609</t>
        </is>
      </c>
    </row>
    <row r="385" ht="20" customHeight="1">
      <c r="A385" s="16" t="inlineStr">
        <is>
          <t>PAEA-CCISM-0384</t>
        </is>
      </c>
      <c r="B385" s="16" t="inlineStr">
        <is>
          <t>904086</t>
        </is>
      </c>
      <c r="C385" s="17" t="inlineStr">
        <is>
          <t>GOUBREY TAIANUI</t>
        </is>
      </c>
      <c r="D385" s="17" t="inlineStr">
        <is>
          <t>DERRIERE LA GENDARMERIE 98711 PAEA</t>
        </is>
      </c>
      <c r="E385" s="17" t="inlineStr">
        <is>
          <t>Patenté (Personne Physique)</t>
        </is>
      </c>
      <c r="F385" s="17" t="inlineStr">
        <is>
          <t>Patenté</t>
        </is>
      </c>
      <c r="G385" s="16" t="inlineStr">
        <is>
          <t>4520A</t>
        </is>
      </c>
      <c r="H385" s="16" t="inlineStr">
        <is>
          <t>M</t>
        </is>
      </c>
      <c r="I385" s="17" t="inlineStr">
        <is>
          <t>Métiers &amp; Artisanat</t>
        </is>
      </c>
      <c r="J385" s="18" t="n">
        <v>0</v>
      </c>
      <c r="K385" s="18" t="n">
        <v>1</v>
      </c>
      <c r="L385" s="17" t="inlineStr">
        <is>
          <t>15 1877 A</t>
        </is>
      </c>
      <c r="M385" s="17" t="inlineStr">
        <is>
          <t>M GOUBREY TAIANUI</t>
        </is>
      </c>
      <c r="N385" s="17" t="inlineStr">
        <is>
          <t>Chef d entreprise</t>
        </is>
      </c>
      <c r="O385" s="18" t="inlineStr">
        <is>
          <t>9638</t>
        </is>
      </c>
    </row>
    <row r="386" ht="20" customHeight="1">
      <c r="A386" s="13" t="inlineStr">
        <is>
          <t>PAEA-CCISM-0385</t>
        </is>
      </c>
      <c r="B386" s="13" t="inlineStr">
        <is>
          <t>759050</t>
        </is>
      </c>
      <c r="C386" s="14" t="inlineStr">
        <is>
          <t>GRAFFE ALEC</t>
        </is>
      </c>
      <c r="D386" s="14" t="inlineStr">
        <is>
          <t>98711 PAEA</t>
        </is>
      </c>
      <c r="E386" s="14" t="inlineStr">
        <is>
          <t>Patenté (Personne Physique)</t>
        </is>
      </c>
      <c r="F386" s="14" t="inlineStr">
        <is>
          <t>Patenté</t>
        </is>
      </c>
      <c r="G386" s="13" t="inlineStr">
        <is>
          <t>8690A</t>
        </is>
      </c>
      <c r="H386" s="13" t="inlineStr">
        <is>
          <t>M</t>
        </is>
      </c>
      <c r="I386" s="14" t="inlineStr">
        <is>
          <t>Métiers &amp; Artisanat</t>
        </is>
      </c>
      <c r="J386" s="15" t="n">
        <v>0</v>
      </c>
      <c r="K386" s="15" t="n">
        <v>1</v>
      </c>
      <c r="L386" s="14" t="inlineStr">
        <is>
          <t>15 2015 A</t>
        </is>
      </c>
      <c r="M386" s="14" t="inlineStr">
        <is>
          <t>M GRAFFE ALEC</t>
        </is>
      </c>
      <c r="N386" s="14" t="inlineStr">
        <is>
          <t>Chef d entreprise</t>
        </is>
      </c>
      <c r="O386" s="15" t="inlineStr">
        <is>
          <t>9646</t>
        </is>
      </c>
    </row>
    <row r="387" ht="20" customHeight="1">
      <c r="A387" s="16" t="inlineStr">
        <is>
          <t>PAEA-CCISM-0386</t>
        </is>
      </c>
      <c r="B387" s="16" t="inlineStr">
        <is>
          <t>392167</t>
        </is>
      </c>
      <c r="C387" s="17" t="inlineStr">
        <is>
          <t>GRAFFE JOSEPH</t>
        </is>
      </c>
      <c r="D387" s="17" t="inlineStr">
        <is>
          <t>98711 PAEA</t>
        </is>
      </c>
      <c r="E387" s="17" t="inlineStr">
        <is>
          <t>Patenté (Personne Physique)</t>
        </is>
      </c>
      <c r="F387" s="17" t="inlineStr">
        <is>
          <t>Patenté</t>
        </is>
      </c>
      <c r="G387" s="16" t="inlineStr">
        <is>
          <t>4339Z</t>
        </is>
      </c>
      <c r="H387" s="16" t="inlineStr">
        <is>
          <t>M</t>
        </is>
      </c>
      <c r="I387" s="17" t="inlineStr">
        <is>
          <t>Métiers &amp; Artisanat</t>
        </is>
      </c>
      <c r="J387" s="18" t="n">
        <v>0</v>
      </c>
      <c r="K387" s="18" t="n">
        <v>1</v>
      </c>
      <c r="L387" s="17" t="inlineStr">
        <is>
          <t>15 493 A</t>
        </is>
      </c>
      <c r="M387" s="17" t="inlineStr">
        <is>
          <t>M GRAFFE JOSEPH</t>
        </is>
      </c>
      <c r="N387" s="17" t="inlineStr">
        <is>
          <t>Chef d entreprise</t>
        </is>
      </c>
      <c r="O387" s="18" t="inlineStr">
        <is>
          <t>9648</t>
        </is>
      </c>
    </row>
    <row r="388" ht="20" customHeight="1">
      <c r="A388" s="13" t="inlineStr">
        <is>
          <t>PAEA-CCISM-0387</t>
        </is>
      </c>
      <c r="B388" s="13" t="inlineStr">
        <is>
          <t>868984</t>
        </is>
      </c>
      <c r="C388" s="14" t="inlineStr">
        <is>
          <t>GREIG NEE MAO LYDIA ERENA</t>
        </is>
      </c>
      <c r="D388" s="14" t="inlineStr">
        <is>
          <t>LOGT 37 RÉSID. VAITUPA 2 98711 PAEA</t>
        </is>
      </c>
      <c r="E388" s="14" t="inlineStr">
        <is>
          <t>Patenté (Personne Physique)</t>
        </is>
      </c>
      <c r="F388" s="14" t="inlineStr">
        <is>
          <t>Patenté</t>
        </is>
      </c>
      <c r="G388" s="13" t="inlineStr">
        <is>
          <t>0812Z</t>
        </is>
      </c>
      <c r="H388" s="13" t="inlineStr">
        <is>
          <t>M</t>
        </is>
      </c>
      <c r="I388" s="14" t="inlineStr">
        <is>
          <t>Métiers &amp; Artisanat</t>
        </is>
      </c>
      <c r="J388" s="15" t="n">
        <v>0</v>
      </c>
      <c r="K388" s="15" t="n">
        <v>1</v>
      </c>
      <c r="L388" s="14" t="inlineStr">
        <is>
          <t>19 2587 A</t>
        </is>
      </c>
      <c r="M388" s="14" t="inlineStr">
        <is>
          <t>Mme GREIG (Née MAO) LYDIA ERENA</t>
        </is>
      </c>
      <c r="N388" s="14" t="inlineStr">
        <is>
          <t>Chef d entreprise</t>
        </is>
      </c>
      <c r="O388" s="15" t="inlineStr">
        <is>
          <t>9668</t>
        </is>
      </c>
    </row>
    <row r="389" ht="20" customHeight="1">
      <c r="A389" s="16" t="inlineStr">
        <is>
          <t>PAEA-CCISM-0388</t>
        </is>
      </c>
      <c r="B389" s="16" t="inlineStr">
        <is>
          <t>D77405</t>
        </is>
      </c>
      <c r="C389" s="17" t="inlineStr">
        <is>
          <t>GUERIN HEITIAREURA</t>
        </is>
      </c>
      <c r="D389" s="17" t="inlineStr">
        <is>
          <t>SERVITUDE LEHARTEL N° 18 98711 PAEA</t>
        </is>
      </c>
      <c r="E389" s="17" t="inlineStr">
        <is>
          <t>Patenté (Personne Physique)</t>
        </is>
      </c>
      <c r="F389" s="17" t="inlineStr">
        <is>
          <t>Patenté</t>
        </is>
      </c>
      <c r="G389" s="16" t="inlineStr">
        <is>
          <t>9602B</t>
        </is>
      </c>
      <c r="H389" s="16" t="inlineStr">
        <is>
          <t>M</t>
        </is>
      </c>
      <c r="I389" s="17" t="inlineStr">
        <is>
          <t>Métiers &amp; Artisanat</t>
        </is>
      </c>
      <c r="J389" s="18" t="n">
        <v>0</v>
      </c>
      <c r="K389" s="18" t="n">
        <v>1</v>
      </c>
      <c r="L389" s="17" t="inlineStr">
        <is>
          <t>23 1712 A</t>
        </is>
      </c>
      <c r="M389" s="17" t="inlineStr">
        <is>
          <t>Mme GUERIN HEITIAREURA</t>
        </is>
      </c>
      <c r="N389" s="17" t="inlineStr">
        <is>
          <t>Chef d entreprise</t>
        </is>
      </c>
      <c r="O389" s="18" t="inlineStr">
        <is>
          <t>9692</t>
        </is>
      </c>
    </row>
    <row r="390" ht="20" customHeight="1">
      <c r="A390" s="13" t="inlineStr">
        <is>
          <t>PAEA-CCISM-0389</t>
        </is>
      </c>
      <c r="B390" s="13" t="inlineStr">
        <is>
          <t>964452</t>
        </is>
      </c>
      <c r="C390" s="14" t="inlineStr">
        <is>
          <t>GUILLOUX BRYAN</t>
        </is>
      </c>
      <c r="D390" s="14" t="inlineStr">
        <is>
          <t>2 SERV PAPEHUE LOT 22 98711 PAEA</t>
        </is>
      </c>
      <c r="E390" s="14" t="inlineStr">
        <is>
          <t>Patenté (Personne Physique)</t>
        </is>
      </c>
      <c r="F390" s="14" t="inlineStr">
        <is>
          <t>Patenté</t>
        </is>
      </c>
      <c r="G390" s="13" t="inlineStr">
        <is>
          <t>4291Z</t>
        </is>
      </c>
      <c r="H390" s="13" t="inlineStr">
        <is>
          <t>M</t>
        </is>
      </c>
      <c r="I390" s="14" t="inlineStr">
        <is>
          <t>Métiers &amp; Artisanat</t>
        </is>
      </c>
      <c r="J390" s="15" t="n">
        <v>0</v>
      </c>
      <c r="K390" s="15" t="n">
        <v>1</v>
      </c>
      <c r="L390" s="14" t="inlineStr">
        <is>
          <t>15 2331 A</t>
        </is>
      </c>
      <c r="M390" s="14" t="inlineStr">
        <is>
          <t>M GUILLOUX BRYAN</t>
        </is>
      </c>
      <c r="N390" s="14" t="inlineStr">
        <is>
          <t>Chef d entreprise</t>
        </is>
      </c>
      <c r="O390" s="15" t="inlineStr">
        <is>
          <t>9710</t>
        </is>
      </c>
    </row>
    <row r="391" ht="20" customHeight="1">
      <c r="A391" s="16" t="inlineStr">
        <is>
          <t>PAEA-CCISM-0390</t>
        </is>
      </c>
      <c r="B391" s="16" t="inlineStr">
        <is>
          <t>D31857</t>
        </is>
      </c>
      <c r="C391" s="17" t="inlineStr">
        <is>
          <t>HARRYS TEMANIHI YANNICK</t>
        </is>
      </c>
      <c r="D391" s="17" t="inlineStr">
        <is>
          <t>98711 PAEA</t>
        </is>
      </c>
      <c r="E391" s="17" t="inlineStr">
        <is>
          <t>Patenté (Personne Physique)</t>
        </is>
      </c>
      <c r="F391" s="17" t="inlineStr">
        <is>
          <t>Patenté</t>
        </is>
      </c>
      <c r="G391" s="16" t="inlineStr">
        <is>
          <t>1629Z</t>
        </is>
      </c>
      <c r="H391" s="16" t="inlineStr">
        <is>
          <t>M</t>
        </is>
      </c>
      <c r="I391" s="17" t="inlineStr">
        <is>
          <t>Métiers &amp; Artisanat</t>
        </is>
      </c>
      <c r="J391" s="18" t="n">
        <v>0</v>
      </c>
      <c r="K391" s="18" t="n">
        <v>1</v>
      </c>
      <c r="L391" s="17" t="inlineStr">
        <is>
          <t>19 1727 A</t>
        </is>
      </c>
      <c r="M391" s="17" t="inlineStr">
        <is>
          <t>M HARRYS TEMANIHI YANNICK</t>
        </is>
      </c>
      <c r="N391" s="17" t="inlineStr">
        <is>
          <t>Chef d entreprise</t>
        </is>
      </c>
      <c r="O391" s="18" t="inlineStr">
        <is>
          <t>9884</t>
        </is>
      </c>
    </row>
    <row r="392" ht="20" customHeight="1">
      <c r="A392" s="13" t="inlineStr">
        <is>
          <t>PAEA-CCISM-0391</t>
        </is>
      </c>
      <c r="B392" s="13" t="inlineStr">
        <is>
          <t>360230</t>
        </is>
      </c>
      <c r="C392" s="14" t="inlineStr">
        <is>
          <t>HAUATA NEE KOHUEINUI MAIRE-NUI</t>
        </is>
      </c>
      <c r="D392" s="14" t="inlineStr">
        <is>
          <t>OROFERO 98711 PAEA</t>
        </is>
      </c>
      <c r="E392" s="14" t="inlineStr">
        <is>
          <t>Patenté (Personne Physique)</t>
        </is>
      </c>
      <c r="F392" s="14" t="inlineStr">
        <is>
          <t>Patenté</t>
        </is>
      </c>
      <c r="G392" s="13" t="inlineStr">
        <is>
          <t>1413Z</t>
        </is>
      </c>
      <c r="H392" s="13" t="inlineStr">
        <is>
          <t>M</t>
        </is>
      </c>
      <c r="I392" s="14" t="inlineStr">
        <is>
          <t>Métiers &amp; Artisanat</t>
        </is>
      </c>
      <c r="J392" s="15" t="n">
        <v>0</v>
      </c>
      <c r="K392" s="15" t="n">
        <v>1</v>
      </c>
      <c r="L392" s="14" t="inlineStr">
        <is>
          <t>14 762 A</t>
        </is>
      </c>
      <c r="M392" s="14" t="inlineStr">
        <is>
          <t>Mme HAUATA (Née KOHUEINUI) MAIRE-NUI</t>
        </is>
      </c>
      <c r="N392" s="14" t="inlineStr">
        <is>
          <t>Chef d entreprise</t>
        </is>
      </c>
      <c r="O392" s="15" t="inlineStr">
        <is>
          <t>9955</t>
        </is>
      </c>
    </row>
    <row r="393" ht="20" customHeight="1">
      <c r="A393" s="16" t="inlineStr">
        <is>
          <t>PAEA-CCISM-0392</t>
        </is>
      </c>
      <c r="B393" s="16" t="inlineStr">
        <is>
          <t>C27626</t>
        </is>
      </c>
      <c r="C393" s="17" t="inlineStr">
        <is>
          <t>HAUATA-TAHIATA IMIHAU VIRIAMU</t>
        </is>
      </c>
      <c r="D393" s="17" t="inlineStr">
        <is>
          <t>RTE DU MARAE ARAHURAHU 98711 PAEA</t>
        </is>
      </c>
      <c r="E393" s="17" t="inlineStr">
        <is>
          <t>Patenté (Personne Physique)</t>
        </is>
      </c>
      <c r="F393" s="17" t="inlineStr">
        <is>
          <t>Patenté</t>
        </is>
      </c>
      <c r="G393" s="16" t="inlineStr">
        <is>
          <t>8130Z</t>
        </is>
      </c>
      <c r="H393" s="16" t="inlineStr">
        <is>
          <t>M</t>
        </is>
      </c>
      <c r="I393" s="17" t="inlineStr">
        <is>
          <t>Métiers &amp; Artisanat</t>
        </is>
      </c>
      <c r="J393" s="18" t="n">
        <v>0</v>
      </c>
      <c r="K393" s="18" t="n">
        <v>1</v>
      </c>
      <c r="L393" s="17" t="inlineStr">
        <is>
          <t>17 437 A</t>
        </is>
      </c>
      <c r="M393" s="17" t="inlineStr">
        <is>
          <t>M HAUATA-TAHIATA IMIHAU VIRIAMU</t>
        </is>
      </c>
      <c r="N393" s="17" t="inlineStr">
        <is>
          <t>Chef d entreprise</t>
        </is>
      </c>
      <c r="O393" s="18" t="inlineStr">
        <is>
          <t>9973</t>
        </is>
      </c>
    </row>
    <row r="394" ht="20" customHeight="1">
      <c r="A394" s="13" t="inlineStr">
        <is>
          <t>PAEA-CCISM-0393</t>
        </is>
      </c>
      <c r="B394" s="13" t="inlineStr">
        <is>
          <t>F02283</t>
        </is>
      </c>
      <c r="C394" s="14" t="inlineStr">
        <is>
          <t>HAUMANI NEE IP-LEE-HOI RAITERE</t>
        </is>
      </c>
      <c r="D394" s="14" t="inlineStr">
        <is>
          <t>VALLEE OROFERO PK 21.800 N°70A APPT N°5 98711 PAEA</t>
        </is>
      </c>
      <c r="E394" s="14" t="inlineStr">
        <is>
          <t>Patenté (Personne Physique)</t>
        </is>
      </c>
      <c r="F394" s="14" t="inlineStr">
        <is>
          <t>Patenté</t>
        </is>
      </c>
      <c r="G394" s="13" t="inlineStr">
        <is>
          <t>8121Z</t>
        </is>
      </c>
      <c r="H394" s="13" t="inlineStr">
        <is>
          <t>M</t>
        </is>
      </c>
      <c r="I394" s="14" t="inlineStr">
        <is>
          <t>Métiers &amp; Artisanat</t>
        </is>
      </c>
      <c r="J394" s="15" t="n">
        <v>0</v>
      </c>
      <c r="K394" s="15" t="n">
        <v>1</v>
      </c>
      <c r="L394" s="14" t="inlineStr">
        <is>
          <t>22 2848 A</t>
        </is>
      </c>
      <c r="M394" s="14" t="inlineStr">
        <is>
          <t>Mme HAUMANI (Née IP-LEE-HOI) RAITERE</t>
        </is>
      </c>
      <c r="N394" s="14" t="inlineStr">
        <is>
          <t>Chef d entreprise</t>
        </is>
      </c>
      <c r="O394" s="15" t="inlineStr">
        <is>
          <t>9980</t>
        </is>
      </c>
    </row>
    <row r="395" ht="20" customHeight="1">
      <c r="A395" s="16" t="inlineStr">
        <is>
          <t>PAEA-CCISM-0394</t>
        </is>
      </c>
      <c r="B395" s="16" t="inlineStr">
        <is>
          <t>G10664</t>
        </is>
      </c>
      <c r="C395" s="17" t="inlineStr">
        <is>
          <t>HEBERT MATAINA</t>
        </is>
      </c>
      <c r="D395" s="17" t="inlineStr">
        <is>
          <t>98711 PAEA</t>
        </is>
      </c>
      <c r="E395" s="17" t="inlineStr">
        <is>
          <t>Patenté (Personne Physique)</t>
        </is>
      </c>
      <c r="F395" s="17" t="inlineStr">
        <is>
          <t>Patenté</t>
        </is>
      </c>
      <c r="G395" s="16" t="inlineStr">
        <is>
          <t>3299Z</t>
        </is>
      </c>
      <c r="H395" s="16" t="inlineStr">
        <is>
          <t>M</t>
        </is>
      </c>
      <c r="I395" s="17" t="inlineStr">
        <is>
          <t>Métiers &amp; Artisanat</t>
        </is>
      </c>
      <c r="J395" s="18" t="n">
        <v>0</v>
      </c>
      <c r="K395" s="18" t="n">
        <v>1</v>
      </c>
      <c r="L395" s="17" t="inlineStr">
        <is>
          <t>25 323 A</t>
        </is>
      </c>
      <c r="M395" s="17" t="inlineStr">
        <is>
          <t>Mme HEBERT MATAINA</t>
        </is>
      </c>
      <c r="N395" s="17" t="inlineStr">
        <is>
          <t>Chef d entreprise</t>
        </is>
      </c>
      <c r="O395" s="18" t="inlineStr">
        <is>
          <t>9999</t>
        </is>
      </c>
    </row>
    <row r="396" ht="20" customHeight="1">
      <c r="A396" s="13" t="inlineStr">
        <is>
          <t>PAEA-CCISM-0395</t>
        </is>
      </c>
      <c r="B396" s="13" t="inlineStr">
        <is>
          <t>E62586</t>
        </is>
      </c>
      <c r="C396" s="14" t="inlineStr">
        <is>
          <t>HELME KEANU</t>
        </is>
      </c>
      <c r="D396" s="14" t="inlineStr">
        <is>
          <t>RTE DE LA VALLEE PAPEHUE N) 83 98711 PAEA</t>
        </is>
      </c>
      <c r="E396" s="14" t="inlineStr">
        <is>
          <t>Patenté (Personne Physique)</t>
        </is>
      </c>
      <c r="F396" s="14" t="inlineStr">
        <is>
          <t>Patenté</t>
        </is>
      </c>
      <c r="G396" s="13" t="inlineStr">
        <is>
          <t>1813Z</t>
        </is>
      </c>
      <c r="H396" s="13" t="inlineStr">
        <is>
          <t>M</t>
        </is>
      </c>
      <c r="I396" s="14" t="inlineStr">
        <is>
          <t>Métiers &amp; Artisanat</t>
        </is>
      </c>
      <c r="J396" s="15" t="n">
        <v>0</v>
      </c>
      <c r="K396" s="15" t="n">
        <v>1</v>
      </c>
      <c r="L396" s="14" t="inlineStr">
        <is>
          <t>22 287 A</t>
        </is>
      </c>
      <c r="M396" s="14" t="inlineStr">
        <is>
          <t>M HELME KEANU</t>
        </is>
      </c>
      <c r="N396" s="14" t="inlineStr">
        <is>
          <t>Chef d entreprise</t>
        </is>
      </c>
      <c r="O396" s="15" t="inlineStr">
        <is>
          <t>10025</t>
        </is>
      </c>
    </row>
    <row r="397" ht="20" customHeight="1">
      <c r="A397" s="16" t="inlineStr">
        <is>
          <t>PAEA-CCISM-0396</t>
        </is>
      </c>
      <c r="B397" s="16" t="inlineStr">
        <is>
          <t>F70850</t>
        </is>
      </c>
      <c r="C397" s="17" t="inlineStr">
        <is>
          <t>HELME-ESTALL JULIE</t>
        </is>
      </c>
      <c r="D397" s="17" t="inlineStr">
        <is>
          <t>N°15 SERVITUDE ROBSON 3 98711 PAEA</t>
        </is>
      </c>
      <c r="E397" s="17" t="inlineStr">
        <is>
          <t>Patenté (Personne Physique)</t>
        </is>
      </c>
      <c r="F397" s="17" t="inlineStr">
        <is>
          <t>Patenté</t>
        </is>
      </c>
      <c r="G397" s="16" t="inlineStr">
        <is>
          <t>8121Z</t>
        </is>
      </c>
      <c r="H397" s="16" t="inlineStr">
        <is>
          <t>M</t>
        </is>
      </c>
      <c r="I397" s="17" t="inlineStr">
        <is>
          <t>Métiers &amp; Artisanat</t>
        </is>
      </c>
      <c r="J397" s="18" t="n">
        <v>0</v>
      </c>
      <c r="K397" s="18" t="n">
        <v>1</v>
      </c>
      <c r="L397" s="17" t="inlineStr">
        <is>
          <t>24 331 A</t>
        </is>
      </c>
      <c r="M397" s="17" t="inlineStr">
        <is>
          <t>Mme HELME-ESTALL JULIE</t>
        </is>
      </c>
      <c r="N397" s="17" t="inlineStr">
        <is>
          <t>Chef d entreprise</t>
        </is>
      </c>
      <c r="O397" s="18" t="inlineStr">
        <is>
          <t>10028</t>
        </is>
      </c>
    </row>
    <row r="398" ht="20" customHeight="1">
      <c r="A398" s="13" t="inlineStr">
        <is>
          <t>PAEA-CCISM-0397</t>
        </is>
      </c>
      <c r="B398" s="13" t="inlineStr">
        <is>
          <t>389817</t>
        </is>
      </c>
      <c r="C398" s="14" t="inlineStr">
        <is>
          <t>HENRIOU JEAN CLAUDE HEINERE</t>
        </is>
      </c>
      <c r="D398" s="14" t="inlineStr">
        <is>
          <t>PAEA PK 23.4 C/MONT 98711 PAEA</t>
        </is>
      </c>
      <c r="E398" s="14" t="inlineStr">
        <is>
          <t>Patenté (Personne Physique)</t>
        </is>
      </c>
      <c r="F398" s="14" t="inlineStr">
        <is>
          <t>Patenté</t>
        </is>
      </c>
      <c r="G398" s="13" t="inlineStr">
        <is>
          <t>8130Z</t>
        </is>
      </c>
      <c r="H398" s="13" t="inlineStr">
        <is>
          <t>M</t>
        </is>
      </c>
      <c r="I398" s="14" t="inlineStr">
        <is>
          <t>Métiers &amp; Artisanat</t>
        </is>
      </c>
      <c r="J398" s="15" t="n">
        <v>0</v>
      </c>
      <c r="K398" s="15" t="n">
        <v>1</v>
      </c>
      <c r="L398" s="14" t="inlineStr">
        <is>
          <t>36702 A</t>
        </is>
      </c>
      <c r="M398" s="14" t="inlineStr">
        <is>
          <t>M HENRIOU JEAN CLAUDE HEINERE</t>
        </is>
      </c>
      <c r="N398" s="14" t="inlineStr">
        <is>
          <t>Chef d entreprise</t>
        </is>
      </c>
      <c r="O398" s="15" t="inlineStr">
        <is>
          <t>10035</t>
        </is>
      </c>
    </row>
    <row r="399" ht="20" customHeight="1">
      <c r="A399" s="16" t="inlineStr">
        <is>
          <t>PAEA-CCISM-0398</t>
        </is>
      </c>
      <c r="B399" s="16" t="inlineStr">
        <is>
          <t>A60506</t>
        </is>
      </c>
      <c r="C399" s="17" t="inlineStr">
        <is>
          <t>HIKUTINI NAPOLEON</t>
        </is>
      </c>
      <c r="D399" s="17" t="inlineStr">
        <is>
          <t>C/O SNACK RESTO 98711 PAEA</t>
        </is>
      </c>
      <c r="E399" s="17" t="inlineStr">
        <is>
          <t>Patenté (Personne Physique)</t>
        </is>
      </c>
      <c r="F399" s="17" t="inlineStr">
        <is>
          <t>Patenté</t>
        </is>
      </c>
      <c r="G399" s="16" t="inlineStr">
        <is>
          <t>4339Z</t>
        </is>
      </c>
      <c r="H399" s="16" t="inlineStr">
        <is>
          <t>M</t>
        </is>
      </c>
      <c r="I399" s="17" t="inlineStr">
        <is>
          <t>Métiers &amp; Artisanat</t>
        </is>
      </c>
      <c r="J399" s="18" t="n">
        <v>0</v>
      </c>
      <c r="K399" s="18" t="n">
        <v>1</v>
      </c>
      <c r="L399" s="17" t="inlineStr">
        <is>
          <t>13 463 A</t>
        </is>
      </c>
      <c r="M399" s="17" t="inlineStr">
        <is>
          <t>M HIKUTINI NAPOLEON</t>
        </is>
      </c>
      <c r="N399" s="17" t="inlineStr">
        <is>
          <t>Chef d entreprise</t>
        </is>
      </c>
      <c r="O399" s="18" t="inlineStr">
        <is>
          <t>10075</t>
        </is>
      </c>
    </row>
    <row r="400" ht="20" customHeight="1">
      <c r="A400" s="13" t="inlineStr">
        <is>
          <t>PAEA-CCISM-0399</t>
        </is>
      </c>
      <c r="B400" s="13" t="inlineStr">
        <is>
          <t>144725</t>
        </is>
      </c>
      <c r="C400" s="14" t="inlineStr">
        <is>
          <t>HIORI GERARD TETUANUI</t>
        </is>
      </c>
      <c r="D400" s="14" t="inlineStr">
        <is>
          <t>LOT 52 98711 PAEA</t>
        </is>
      </c>
      <c r="E400" s="14" t="inlineStr">
        <is>
          <t>Patenté (Personne Physique)</t>
        </is>
      </c>
      <c r="F400" s="14" t="inlineStr">
        <is>
          <t>Patenté</t>
        </is>
      </c>
      <c r="G400" s="13" t="inlineStr">
        <is>
          <t>4339Z</t>
        </is>
      </c>
      <c r="H400" s="13" t="inlineStr">
        <is>
          <t>M</t>
        </is>
      </c>
      <c r="I400" s="14" t="inlineStr">
        <is>
          <t>Métiers &amp; Artisanat</t>
        </is>
      </c>
      <c r="J400" s="15" t="n">
        <v>0</v>
      </c>
      <c r="K400" s="15" t="n">
        <v>1</v>
      </c>
      <c r="L400" s="14" t="inlineStr">
        <is>
          <t>18 1663 A</t>
        </is>
      </c>
      <c r="M400" s="14" t="inlineStr">
        <is>
          <t>M HIORI GERARD TETUANUI</t>
        </is>
      </c>
      <c r="N400" s="14" t="inlineStr">
        <is>
          <t>Chef d entreprise</t>
        </is>
      </c>
      <c r="O400" s="15" t="inlineStr">
        <is>
          <t>10089</t>
        </is>
      </c>
    </row>
    <row r="401" ht="20" customHeight="1">
      <c r="A401" s="16" t="inlineStr">
        <is>
          <t>PAEA-CCISM-0400</t>
        </is>
      </c>
      <c r="B401" s="16" t="inlineStr">
        <is>
          <t>168062</t>
        </is>
      </c>
      <c r="C401" s="17" t="inlineStr">
        <is>
          <t>HIORI NEE TEHETIA GINA ROSA</t>
        </is>
      </c>
      <c r="D401" s="17" t="inlineStr">
        <is>
          <t>RTE LOTISSEMENT BOLDWIN LOT 51 98711 PAEA</t>
        </is>
      </c>
      <c r="E401" s="17" t="inlineStr">
        <is>
          <t>Patenté (Personne Physique)</t>
        </is>
      </c>
      <c r="F401" s="17" t="inlineStr">
        <is>
          <t>Patenté</t>
        </is>
      </c>
      <c r="G401" s="16" t="inlineStr">
        <is>
          <t>8121Z</t>
        </is>
      </c>
      <c r="H401" s="16" t="inlineStr">
        <is>
          <t>M</t>
        </is>
      </c>
      <c r="I401" s="17" t="inlineStr">
        <is>
          <t>Métiers &amp; Artisanat</t>
        </is>
      </c>
      <c r="J401" s="18" t="n">
        <v>0</v>
      </c>
      <c r="K401" s="18" t="n">
        <v>1</v>
      </c>
      <c r="L401" s="17" t="inlineStr">
        <is>
          <t>17 1456 A</t>
        </is>
      </c>
      <c r="M401" s="17" t="inlineStr">
        <is>
          <t>Mme HIORI (Née TEHETIA) GINA ROSA</t>
        </is>
      </c>
      <c r="N401" s="17" t="inlineStr">
        <is>
          <t>Chef d entreprise</t>
        </is>
      </c>
      <c r="O401" s="18" t="inlineStr">
        <is>
          <t>10090</t>
        </is>
      </c>
    </row>
    <row r="402" ht="20" customHeight="1">
      <c r="A402" s="13" t="inlineStr">
        <is>
          <t>PAEA-CCISM-0401</t>
        </is>
      </c>
      <c r="B402" s="13" t="inlineStr">
        <is>
          <t>E07706</t>
        </is>
      </c>
      <c r="C402" s="14" t="inlineStr">
        <is>
          <t>HIRA JOEL NARII</t>
        </is>
      </c>
      <c r="D402" s="14" t="inlineStr">
        <is>
          <t>98711 PAEA</t>
        </is>
      </c>
      <c r="E402" s="14" t="inlineStr">
        <is>
          <t>Patenté (Personne Physique)</t>
        </is>
      </c>
      <c r="F402" s="14" t="inlineStr">
        <is>
          <t>Patenté</t>
        </is>
      </c>
      <c r="G402" s="13" t="inlineStr">
        <is>
          <t>4339Z</t>
        </is>
      </c>
      <c r="H402" s="13" t="inlineStr">
        <is>
          <t>M</t>
        </is>
      </c>
      <c r="I402" s="14" t="inlineStr">
        <is>
          <t>Métiers &amp; Artisanat</t>
        </is>
      </c>
      <c r="J402" s="15" t="n">
        <v>0</v>
      </c>
      <c r="K402" s="15" t="n">
        <v>1</v>
      </c>
      <c r="L402" s="14" t="inlineStr">
        <is>
          <t>21 198 A</t>
        </is>
      </c>
      <c r="M402" s="14" t="inlineStr">
        <is>
          <t>M HIRA JOEL NARII</t>
        </is>
      </c>
      <c r="N402" s="14" t="inlineStr">
        <is>
          <t>Chef d entreprise</t>
        </is>
      </c>
      <c r="O402" s="15" t="inlineStr">
        <is>
          <t>10093</t>
        </is>
      </c>
    </row>
    <row r="403" ht="20" customHeight="1">
      <c r="A403" s="16" t="inlineStr">
        <is>
          <t>PAEA-CCISM-0402</t>
        </is>
      </c>
      <c r="B403" s="16" t="inlineStr">
        <is>
          <t>961268</t>
        </is>
      </c>
      <c r="C403" s="17" t="inlineStr">
        <is>
          <t>HIRIHIRI OLIVIER</t>
        </is>
      </c>
      <c r="D403" s="17" t="inlineStr">
        <is>
          <t>TEPUHAPA 98711 PAEA</t>
        </is>
      </c>
      <c r="E403" s="17" t="inlineStr">
        <is>
          <t>Patenté (Personne Physique)</t>
        </is>
      </c>
      <c r="F403" s="17" t="inlineStr">
        <is>
          <t>Patenté</t>
        </is>
      </c>
      <c r="G403" s="16" t="inlineStr">
        <is>
          <t>4120A</t>
        </is>
      </c>
      <c r="H403" s="16" t="inlineStr">
        <is>
          <t>M</t>
        </is>
      </c>
      <c r="I403" s="17" t="inlineStr">
        <is>
          <t>Métiers &amp; Artisanat</t>
        </is>
      </c>
      <c r="J403" s="18" t="n">
        <v>0</v>
      </c>
      <c r="K403" s="18" t="n">
        <v>1</v>
      </c>
      <c r="L403" s="17" t="inlineStr">
        <is>
          <t>10 1644 A</t>
        </is>
      </c>
      <c r="M403" s="17" t="inlineStr">
        <is>
          <t>M HIRIHIRI OLIVIER</t>
        </is>
      </c>
      <c r="N403" s="17" t="inlineStr">
        <is>
          <t>Chef d entreprise</t>
        </is>
      </c>
      <c r="O403" s="18" t="inlineStr">
        <is>
          <t>10098</t>
        </is>
      </c>
    </row>
    <row r="404" ht="20" customHeight="1">
      <c r="A404" s="13" t="inlineStr">
        <is>
          <t>PAEA-CCISM-0403</t>
        </is>
      </c>
      <c r="B404" s="13" t="inlineStr">
        <is>
          <t>F47221</t>
        </is>
      </c>
      <c r="C404" s="14" t="inlineStr">
        <is>
          <t>HITIMAUE-VANAA VIRITUA</t>
        </is>
      </c>
      <c r="D404" s="14" t="inlineStr">
        <is>
          <t>LOT N°13 LOTISSEMENT CPS 98711 PAEA</t>
        </is>
      </c>
      <c r="E404" s="14" t="inlineStr">
        <is>
          <t>Patenté (Personne Physique)</t>
        </is>
      </c>
      <c r="F404" s="14" t="inlineStr">
        <is>
          <t>Patenté</t>
        </is>
      </c>
      <c r="G404" s="13" t="inlineStr">
        <is>
          <t>4339Z</t>
        </is>
      </c>
      <c r="H404" s="13" t="inlineStr">
        <is>
          <t>M</t>
        </is>
      </c>
      <c r="I404" s="14" t="inlineStr">
        <is>
          <t>Métiers &amp; Artisanat</t>
        </is>
      </c>
      <c r="J404" s="15" t="n">
        <v>0</v>
      </c>
      <c r="K404" s="15" t="n">
        <v>1</v>
      </c>
      <c r="L404" s="14" t="inlineStr">
        <is>
          <t>23 2107 A</t>
        </is>
      </c>
      <c r="M404" s="14" t="inlineStr">
        <is>
          <t>M HITIMAUE-VANAA VIRITUA</t>
        </is>
      </c>
      <c r="N404" s="14" t="inlineStr">
        <is>
          <t>Chef d entreprise</t>
        </is>
      </c>
      <c r="O404" s="15" t="inlineStr">
        <is>
          <t>10116</t>
        </is>
      </c>
    </row>
    <row r="405" ht="20" customHeight="1">
      <c r="A405" s="16" t="inlineStr">
        <is>
          <t>PAEA-CCISM-0404</t>
        </is>
      </c>
      <c r="B405" s="16" t="inlineStr">
        <is>
          <t>C39126</t>
        </is>
      </c>
      <c r="C405" s="17" t="inlineStr">
        <is>
          <t>HITIURA LINDSAY</t>
        </is>
      </c>
      <c r="D405" s="17" t="inlineStr">
        <is>
          <t>SERVITUDE PAPEHUE LOT 19 98711 PAEA</t>
        </is>
      </c>
      <c r="E405" s="17" t="inlineStr">
        <is>
          <t>Patenté (Personne Physique)</t>
        </is>
      </c>
      <c r="F405" s="17" t="inlineStr">
        <is>
          <t>Patenté</t>
        </is>
      </c>
      <c r="G405" s="16" t="inlineStr">
        <is>
          <t>1089Z</t>
        </is>
      </c>
      <c r="H405" s="16" t="inlineStr">
        <is>
          <t>M</t>
        </is>
      </c>
      <c r="I405" s="17" t="inlineStr">
        <is>
          <t>Métiers &amp; Artisanat</t>
        </is>
      </c>
      <c r="J405" s="18" t="n">
        <v>0</v>
      </c>
      <c r="K405" s="18" t="n">
        <v>1</v>
      </c>
      <c r="L405" s="17" t="inlineStr">
        <is>
          <t>25 244 A</t>
        </is>
      </c>
      <c r="M405" s="17" t="inlineStr">
        <is>
          <t>Mme HITIURA LINDSAY</t>
        </is>
      </c>
      <c r="N405" s="17" t="inlineStr">
        <is>
          <t>Chef d entreprise</t>
        </is>
      </c>
      <c r="O405" s="18" t="inlineStr">
        <is>
          <t>10119</t>
        </is>
      </c>
    </row>
    <row r="406" ht="20" customHeight="1">
      <c r="A406" s="13" t="inlineStr">
        <is>
          <t>PAEA-CCISM-0405</t>
        </is>
      </c>
      <c r="B406" s="13" t="inlineStr">
        <is>
          <t>E37281</t>
        </is>
      </c>
      <c r="C406" s="14" t="inlineStr">
        <is>
          <t>HIVAI</t>
        </is>
      </c>
      <c r="D406" s="14" t="inlineStr">
        <is>
          <t>VALLEE OROFERO PK 21,900, 12E DOS D'ANE À GAUCHE 98711 PAEA</t>
        </is>
      </c>
      <c r="E406" s="14" t="inlineStr">
        <is>
          <t>SARL</t>
        </is>
      </c>
      <c r="F406" s="14" t="inlineStr">
        <is>
          <t>Société</t>
        </is>
      </c>
      <c r="G406" s="13" t="inlineStr">
        <is>
          <t>4120B</t>
        </is>
      </c>
      <c r="H406" s="13" t="inlineStr">
        <is>
          <t>M</t>
        </is>
      </c>
      <c r="I406" s="14" t="inlineStr">
        <is>
          <t>Métiers &amp; Artisanat</t>
        </is>
      </c>
      <c r="J406" s="15" t="n">
        <v>3</v>
      </c>
      <c r="K406" s="15" t="n">
        <v>1</v>
      </c>
      <c r="L406" s="14" t="inlineStr">
        <is>
          <t>21 225 B</t>
        </is>
      </c>
      <c r="M406" s="14" t="inlineStr">
        <is>
          <t>M TARANO ROGER</t>
        </is>
      </c>
      <c r="N406" s="14" t="inlineStr">
        <is>
          <t>Gérant</t>
        </is>
      </c>
      <c r="O406" s="15" t="inlineStr">
        <is>
          <t>10129</t>
        </is>
      </c>
    </row>
    <row r="407" ht="20" customHeight="1">
      <c r="A407" s="16" t="inlineStr">
        <is>
          <t>PAEA-CCISM-0406</t>
        </is>
      </c>
      <c r="B407" s="16" t="inlineStr">
        <is>
          <t>884742</t>
        </is>
      </c>
      <c r="C407" s="17" t="inlineStr">
        <is>
          <t>HOFFMANN HEIMOANA GERARD</t>
        </is>
      </c>
      <c r="D407" s="17" t="inlineStr">
        <is>
          <t>98711 PAEA</t>
        </is>
      </c>
      <c r="E407" s="17" t="inlineStr">
        <is>
          <t>Patenté (Personne Physique)</t>
        </is>
      </c>
      <c r="F407" s="17" t="inlineStr">
        <is>
          <t>Patenté</t>
        </is>
      </c>
      <c r="G407" s="16" t="inlineStr">
        <is>
          <t>4332A</t>
        </is>
      </c>
      <c r="H407" s="16" t="inlineStr">
        <is>
          <t>M</t>
        </is>
      </c>
      <c r="I407" s="17" t="inlineStr">
        <is>
          <t>Métiers &amp; Artisanat</t>
        </is>
      </c>
      <c r="J407" s="18" t="n">
        <v>0</v>
      </c>
      <c r="K407" s="18" t="n">
        <v>1</v>
      </c>
      <c r="L407" s="17" t="inlineStr">
        <is>
          <t>16 1714 A</t>
        </is>
      </c>
      <c r="M407" s="17" t="inlineStr">
        <is>
          <t>M HOFFMANN HEIMOANA GERARD</t>
        </is>
      </c>
      <c r="N407" s="17" t="inlineStr">
        <is>
          <t>Chef d entreprise</t>
        </is>
      </c>
      <c r="O407" s="18" t="inlineStr">
        <is>
          <t>10145</t>
        </is>
      </c>
    </row>
    <row r="408" ht="20" customHeight="1">
      <c r="A408" s="13" t="inlineStr">
        <is>
          <t>PAEA-CCISM-0407</t>
        </is>
      </c>
      <c r="B408" s="13" t="inlineStr">
        <is>
          <t>B87739</t>
        </is>
      </c>
      <c r="C408" s="14" t="inlineStr">
        <is>
          <t>HOLMAN BILL</t>
        </is>
      </c>
      <c r="D408" s="14" t="inlineStr">
        <is>
          <t>21 RTE DU LOTISSEMENT VAITERUPE 98711 PAEA</t>
        </is>
      </c>
      <c r="E408" s="14" t="inlineStr">
        <is>
          <t>Patenté (Personne Physique)</t>
        </is>
      </c>
      <c r="F408" s="14" t="inlineStr">
        <is>
          <t>Patenté</t>
        </is>
      </c>
      <c r="G408" s="13" t="inlineStr">
        <is>
          <t>4339Z</t>
        </is>
      </c>
      <c r="H408" s="13" t="inlineStr">
        <is>
          <t>M</t>
        </is>
      </c>
      <c r="I408" s="14" t="inlineStr">
        <is>
          <t>Métiers &amp; Artisanat</t>
        </is>
      </c>
      <c r="J408" s="15" t="n">
        <v>1</v>
      </c>
      <c r="K408" s="15" t="n">
        <v>1</v>
      </c>
      <c r="L408" s="14" t="inlineStr">
        <is>
          <t>16 766 A</t>
        </is>
      </c>
      <c r="M408" s="14" t="inlineStr">
        <is>
          <t>M HOLMAN BILL</t>
        </is>
      </c>
      <c r="N408" s="14" t="inlineStr">
        <is>
          <t>Chef d entreprise</t>
        </is>
      </c>
      <c r="O408" s="15" t="inlineStr">
        <is>
          <t>10161</t>
        </is>
      </c>
    </row>
    <row r="409" ht="20" customHeight="1">
      <c r="A409" s="16" t="inlineStr">
        <is>
          <t>PAEA-CCISM-0408</t>
        </is>
      </c>
      <c r="B409" s="16" t="inlineStr">
        <is>
          <t>B04700</t>
        </is>
      </c>
      <c r="C409" s="17" t="inlineStr">
        <is>
          <t>HOLOPUNI CANOES TAHITI</t>
        </is>
      </c>
      <c r="D409" s="17" t="inlineStr">
        <is>
          <t>98711 PAEA</t>
        </is>
      </c>
      <c r="E409" s="17" t="inlineStr">
        <is>
          <t>SNC</t>
        </is>
      </c>
      <c r="F409" s="17" t="inlineStr">
        <is>
          <t>Société</t>
        </is>
      </c>
      <c r="G409" s="16" t="inlineStr">
        <is>
          <t>3012Z</t>
        </is>
      </c>
      <c r="H409" s="16" t="inlineStr">
        <is>
          <t>M</t>
        </is>
      </c>
      <c r="I409" s="17" t="inlineStr">
        <is>
          <t>Métiers &amp; Artisanat</t>
        </is>
      </c>
      <c r="J409" s="18" t="n">
        <v>0</v>
      </c>
      <c r="K409" s="18" t="n">
        <v>1</v>
      </c>
      <c r="L409" s="17" t="inlineStr">
        <is>
          <t>14 83 B</t>
        </is>
      </c>
      <c r="M409" s="17" t="inlineStr">
        <is>
          <t>M KNIGHT CHRISTOPHER</t>
        </is>
      </c>
      <c r="N409" s="17" t="inlineStr">
        <is>
          <t>Gérant</t>
        </is>
      </c>
      <c r="O409" s="18" t="inlineStr">
        <is>
          <t>10172</t>
        </is>
      </c>
    </row>
    <row r="410" ht="20" customHeight="1">
      <c r="A410" s="13" t="inlineStr">
        <is>
          <t>PAEA-CCISM-0409</t>
        </is>
      </c>
      <c r="B410" s="13" t="inlineStr">
        <is>
          <t>C64967</t>
        </is>
      </c>
      <c r="C410" s="14" t="inlineStr">
        <is>
          <t>HONOURA NEE PAERAI CHRISTA</t>
        </is>
      </c>
      <c r="D410" s="14" t="inlineStr">
        <is>
          <t>RTE DE LA VALLEE OROFERO SERVITUDE AVAEREAREA 98711 PAEA</t>
        </is>
      </c>
      <c r="E410" s="14" t="inlineStr">
        <is>
          <t>Patenté (Personne Physique)</t>
        </is>
      </c>
      <c r="F410" s="14" t="inlineStr">
        <is>
          <t>Patenté</t>
        </is>
      </c>
      <c r="G410" s="13" t="inlineStr">
        <is>
          <t>9602B</t>
        </is>
      </c>
      <c r="H410" s="13" t="inlineStr">
        <is>
          <t>M</t>
        </is>
      </c>
      <c r="I410" s="14" t="inlineStr">
        <is>
          <t>Métiers &amp; Artisanat</t>
        </is>
      </c>
      <c r="J410" s="15" t="n">
        <v>0</v>
      </c>
      <c r="K410" s="15" t="n">
        <v>1</v>
      </c>
      <c r="L410" s="14" t="inlineStr">
        <is>
          <t>23 2580 A</t>
        </is>
      </c>
      <c r="M410" s="14" t="inlineStr">
        <is>
          <t>Mme HONOURA (Née PAERAI) CHRISTA</t>
        </is>
      </c>
      <c r="N410" s="14" t="inlineStr">
        <is>
          <t>Chef d entreprise</t>
        </is>
      </c>
      <c r="O410" s="15" t="inlineStr">
        <is>
          <t>10186</t>
        </is>
      </c>
    </row>
    <row r="411" ht="20" customHeight="1">
      <c r="A411" s="16" t="inlineStr">
        <is>
          <t>PAEA-CCISM-0410</t>
        </is>
      </c>
      <c r="B411" s="16" t="inlineStr">
        <is>
          <t>338509</t>
        </is>
      </c>
      <c r="C411" s="17" t="inlineStr">
        <is>
          <t>HOPUARE JEAN-LOUIS</t>
        </is>
      </c>
      <c r="D411" s="17" t="inlineStr">
        <is>
          <t>DOMAINE MAHUTATUA FAAAHU QT OROFERO - PARCELLE AW70 98711 PAEA</t>
        </is>
      </c>
      <c r="E411" s="17" t="inlineStr">
        <is>
          <t>Patenté (Personne Physique)</t>
        </is>
      </c>
      <c r="F411" s="17" t="inlineStr">
        <is>
          <t>Patenté</t>
        </is>
      </c>
      <c r="G411" s="16" t="inlineStr">
        <is>
          <t>4339Z</t>
        </is>
      </c>
      <c r="H411" s="16" t="inlineStr">
        <is>
          <t>M</t>
        </is>
      </c>
      <c r="I411" s="17" t="inlineStr">
        <is>
          <t>Métiers &amp; Artisanat</t>
        </is>
      </c>
      <c r="J411" s="18" t="n">
        <v>0</v>
      </c>
      <c r="K411" s="18" t="n">
        <v>1</v>
      </c>
      <c r="L411" s="17" t="inlineStr">
        <is>
          <t>22 1404 A</t>
        </is>
      </c>
      <c r="M411" s="17" t="inlineStr">
        <is>
          <t>M HOPUARE JEAN-LOUIS</t>
        </is>
      </c>
      <c r="N411" s="17" t="inlineStr">
        <is>
          <t>Chef d entreprise</t>
        </is>
      </c>
      <c r="O411" s="18" t="inlineStr">
        <is>
          <t>10192</t>
        </is>
      </c>
    </row>
    <row r="412" ht="20" customHeight="1">
      <c r="A412" s="13" t="inlineStr">
        <is>
          <t>PAEA-CCISM-0411</t>
        </is>
      </c>
      <c r="B412" s="13" t="inlineStr">
        <is>
          <t>856161</t>
        </is>
      </c>
      <c r="C412" s="14" t="inlineStr">
        <is>
          <t>HORLON DAVID</t>
        </is>
      </c>
      <c r="D412" s="14" t="inlineStr">
        <is>
          <t>PAEA PK 27 C/MONT - SERV. NIHI 98711 PAEA</t>
        </is>
      </c>
      <c r="E412" s="14" t="inlineStr">
        <is>
          <t>Patenté (Personne Physique)</t>
        </is>
      </c>
      <c r="F412" s="14" t="inlineStr">
        <is>
          <t>Patenté</t>
        </is>
      </c>
      <c r="G412" s="13" t="inlineStr">
        <is>
          <t>4334Z</t>
        </is>
      </c>
      <c r="H412" s="13" t="inlineStr">
        <is>
          <t>M</t>
        </is>
      </c>
      <c r="I412" s="14" t="inlineStr">
        <is>
          <t>Métiers &amp; Artisanat</t>
        </is>
      </c>
      <c r="J412" s="15" t="n">
        <v>0</v>
      </c>
      <c r="K412" s="15" t="n">
        <v>1</v>
      </c>
      <c r="L412" s="14" t="inlineStr">
        <is>
          <t>08 400 A</t>
        </is>
      </c>
      <c r="M412" s="14" t="inlineStr">
        <is>
          <t>M HORLON DAVID</t>
        </is>
      </c>
      <c r="N412" s="14" t="inlineStr">
        <is>
          <t>Chef d entreprise</t>
        </is>
      </c>
      <c r="O412" s="15" t="inlineStr">
        <is>
          <t>10204</t>
        </is>
      </c>
    </row>
    <row r="413" ht="20" customHeight="1">
      <c r="A413" s="16" t="inlineStr">
        <is>
          <t>PAEA-CCISM-0412</t>
        </is>
      </c>
      <c r="B413" s="16" t="inlineStr">
        <is>
          <t>F72203</t>
        </is>
      </c>
      <c r="C413" s="17" t="inlineStr">
        <is>
          <t>HT MULTITRAVAUX</t>
        </is>
      </c>
      <c r="D413" s="17" t="inlineStr">
        <is>
          <t>LOT N° 21 98711 PAEA</t>
        </is>
      </c>
      <c r="E413" s="17" t="inlineStr">
        <is>
          <t>SARL Unipersonnelle</t>
        </is>
      </c>
      <c r="F413" s="17" t="inlineStr">
        <is>
          <t>Société</t>
        </is>
      </c>
      <c r="G413" s="16" t="inlineStr">
        <is>
          <t>4339Z</t>
        </is>
      </c>
      <c r="H413" s="16" t="inlineStr">
        <is>
          <t>M</t>
        </is>
      </c>
      <c r="I413" s="17" t="inlineStr">
        <is>
          <t>Métiers &amp; Artisanat</t>
        </is>
      </c>
      <c r="J413" s="18" t="n">
        <v>0</v>
      </c>
      <c r="K413" s="18" t="n">
        <v>1</v>
      </c>
      <c r="L413" s="17" t="inlineStr">
        <is>
          <t>24 227 B</t>
        </is>
      </c>
      <c r="M413" s="17" t="inlineStr">
        <is>
          <t>M HOLMAN BILL</t>
        </is>
      </c>
      <c r="N413" s="17" t="inlineStr">
        <is>
          <t>Gérant et associé indéfiniment responsa</t>
        </is>
      </c>
      <c r="O413" s="18" t="inlineStr">
        <is>
          <t>10223</t>
        </is>
      </c>
    </row>
    <row r="414" ht="20" customHeight="1">
      <c r="A414" s="13" t="inlineStr">
        <is>
          <t>PAEA-CCISM-0413</t>
        </is>
      </c>
      <c r="B414" s="13" t="inlineStr">
        <is>
          <t>654020</t>
        </is>
      </c>
      <c r="C414" s="14" t="inlineStr">
        <is>
          <t>HUIOUTU-HAPAITAHAA TEVA</t>
        </is>
      </c>
      <c r="D414" s="14" t="inlineStr">
        <is>
          <t>98711 PAEA</t>
        </is>
      </c>
      <c r="E414" s="14" t="inlineStr">
        <is>
          <t>Patenté (Personne Physique)</t>
        </is>
      </c>
      <c r="F414" s="14" t="inlineStr">
        <is>
          <t>Patenté</t>
        </is>
      </c>
      <c r="G414" s="13" t="inlineStr">
        <is>
          <t>4321A</t>
        </is>
      </c>
      <c r="H414" s="13" t="inlineStr">
        <is>
          <t>M</t>
        </is>
      </c>
      <c r="I414" s="14" t="inlineStr">
        <is>
          <t>Métiers &amp; Artisanat</t>
        </is>
      </c>
      <c r="J414" s="15" t="n">
        <v>0</v>
      </c>
      <c r="K414" s="15" t="n">
        <v>1</v>
      </c>
      <c r="L414" s="14" t="inlineStr">
        <is>
          <t>10 1171 A</t>
        </is>
      </c>
      <c r="M414" s="14" t="inlineStr">
        <is>
          <t>M HUIOUTU-HAPAITAHAA TEVA</t>
        </is>
      </c>
      <c r="N414" s="14" t="inlineStr">
        <is>
          <t>Chef d entreprise</t>
        </is>
      </c>
      <c r="O414" s="15" t="inlineStr">
        <is>
          <t>10253</t>
        </is>
      </c>
    </row>
    <row r="415" ht="20" customHeight="1">
      <c r="A415" s="16" t="inlineStr">
        <is>
          <t>PAEA-CCISM-0414</t>
        </is>
      </c>
      <c r="B415" s="16" t="inlineStr">
        <is>
          <t>971788</t>
        </is>
      </c>
      <c r="C415" s="17" t="inlineStr">
        <is>
          <t>HURUPA HANS ROO</t>
        </is>
      </c>
      <c r="D415" s="17" t="inlineStr">
        <is>
          <t>PAEA PK 20.500 C/MONT - LOTISS TEPUHAP 98711 PAEA</t>
        </is>
      </c>
      <c r="E415" s="17" t="inlineStr">
        <is>
          <t>Patenté (Personne Physique)</t>
        </is>
      </c>
      <c r="F415" s="17" t="inlineStr">
        <is>
          <t>Patenté</t>
        </is>
      </c>
      <c r="G415" s="16" t="inlineStr">
        <is>
          <t>4339Z</t>
        </is>
      </c>
      <c r="H415" s="16" t="inlineStr">
        <is>
          <t>M</t>
        </is>
      </c>
      <c r="I415" s="17" t="inlineStr">
        <is>
          <t>Métiers &amp; Artisanat</t>
        </is>
      </c>
      <c r="J415" s="18" t="n">
        <v>0</v>
      </c>
      <c r="K415" s="18" t="n">
        <v>1</v>
      </c>
      <c r="L415" s="17" t="inlineStr">
        <is>
          <t>11 194 A</t>
        </is>
      </c>
      <c r="M415" s="17" t="inlineStr">
        <is>
          <t>M HURUPA HANS ROO</t>
        </is>
      </c>
      <c r="N415" s="17" t="inlineStr">
        <is>
          <t>Chef d entreprise</t>
        </is>
      </c>
      <c r="O415" s="18" t="inlineStr">
        <is>
          <t>10285</t>
        </is>
      </c>
    </row>
    <row r="416" ht="20" customHeight="1">
      <c r="A416" s="13" t="inlineStr">
        <is>
          <t>PAEA-CCISM-0415</t>
        </is>
      </c>
      <c r="B416" s="13" t="inlineStr">
        <is>
          <t>F41067</t>
        </is>
      </c>
      <c r="C416" s="14" t="inlineStr">
        <is>
          <t>HUUKENA JOHN</t>
        </is>
      </c>
      <c r="D416" s="14" t="inlineStr">
        <is>
          <t>VAITERUPE 2 QTIER PICARD A 98711 PAEA</t>
        </is>
      </c>
      <c r="E416" s="14" t="inlineStr">
        <is>
          <t>Patenté (Personne Physique)</t>
        </is>
      </c>
      <c r="F416" s="14" t="inlineStr">
        <is>
          <t>Patenté</t>
        </is>
      </c>
      <c r="G416" s="13" t="inlineStr">
        <is>
          <t>4339Z</t>
        </is>
      </c>
      <c r="H416" s="13" t="inlineStr">
        <is>
          <t>M</t>
        </is>
      </c>
      <c r="I416" s="14" t="inlineStr">
        <is>
          <t>Métiers &amp; Artisanat</t>
        </is>
      </c>
      <c r="J416" s="15" t="n">
        <v>0</v>
      </c>
      <c r="K416" s="15" t="n">
        <v>1</v>
      </c>
      <c r="L416" s="14" t="inlineStr">
        <is>
          <t>23 1858 A</t>
        </is>
      </c>
      <c r="M416" s="14" t="inlineStr">
        <is>
          <t>M HUUKENA JOHN</t>
        </is>
      </c>
      <c r="N416" s="14" t="inlineStr">
        <is>
          <t>Chef d entreprise</t>
        </is>
      </c>
      <c r="O416" s="15" t="inlineStr">
        <is>
          <t>10300</t>
        </is>
      </c>
    </row>
    <row r="417" ht="20" customHeight="1">
      <c r="A417" s="16" t="inlineStr">
        <is>
          <t>PAEA-CCISM-0416</t>
        </is>
      </c>
      <c r="B417" s="16" t="inlineStr">
        <is>
          <t>F42602</t>
        </is>
      </c>
      <c r="C417" s="17" t="inlineStr">
        <is>
          <t>HUUTI BRITANY</t>
        </is>
      </c>
      <c r="D417" s="17" t="inlineStr">
        <is>
          <t>LOT 3 - RTE DU LOTISSEMENT VAITIARE 1 N°54 98711 PAEA</t>
        </is>
      </c>
      <c r="E417" s="17" t="inlineStr">
        <is>
          <t>Patenté (Personne Physique)</t>
        </is>
      </c>
      <c r="F417" s="17" t="inlineStr">
        <is>
          <t>Patenté</t>
        </is>
      </c>
      <c r="G417" s="16" t="inlineStr">
        <is>
          <t>1413Z</t>
        </is>
      </c>
      <c r="H417" s="16" t="inlineStr">
        <is>
          <t>M</t>
        </is>
      </c>
      <c r="I417" s="17" t="inlineStr">
        <is>
          <t>Métiers &amp; Artisanat</t>
        </is>
      </c>
      <c r="J417" s="18" t="n">
        <v>0</v>
      </c>
      <c r="K417" s="18" t="n">
        <v>1</v>
      </c>
      <c r="L417" s="17" t="inlineStr">
        <is>
          <t>23 1865 A</t>
        </is>
      </c>
      <c r="M417" s="17" t="inlineStr">
        <is>
          <t>Mme HUUTI BRITANY</t>
        </is>
      </c>
      <c r="N417" s="17" t="inlineStr">
        <is>
          <t>Chef d entreprise</t>
        </is>
      </c>
      <c r="O417" s="18" t="inlineStr">
        <is>
          <t>10303</t>
        </is>
      </c>
    </row>
    <row r="418" ht="20" customHeight="1">
      <c r="A418" s="13" t="inlineStr">
        <is>
          <t>PAEA-CCISM-0417</t>
        </is>
      </c>
      <c r="B418" s="13" t="inlineStr">
        <is>
          <t>A95361</t>
        </is>
      </c>
      <c r="C418" s="14" t="inlineStr">
        <is>
          <t>HUUTI GERRY XAVIER</t>
        </is>
      </c>
      <c r="D418" s="14" t="inlineStr">
        <is>
          <t>SERVITUDE TAPUTUARAI 98711 PAEA</t>
        </is>
      </c>
      <c r="E418" s="14" t="inlineStr">
        <is>
          <t>Patenté (Personne Physique)</t>
        </is>
      </c>
      <c r="F418" s="14" t="inlineStr">
        <is>
          <t>Patenté</t>
        </is>
      </c>
      <c r="G418" s="13" t="inlineStr">
        <is>
          <t>1629Z</t>
        </is>
      </c>
      <c r="H418" s="13" t="inlineStr">
        <is>
          <t>M</t>
        </is>
      </c>
      <c r="I418" s="14" t="inlineStr">
        <is>
          <t>Métiers &amp; Artisanat</t>
        </is>
      </c>
      <c r="J418" s="15" t="n">
        <v>0</v>
      </c>
      <c r="K418" s="15" t="n">
        <v>1</v>
      </c>
      <c r="L418" s="14" t="inlineStr">
        <is>
          <t>14 127 A</t>
        </is>
      </c>
      <c r="M418" s="14" t="inlineStr">
        <is>
          <t>M HUUTI GERRY XAVIER</t>
        </is>
      </c>
      <c r="N418" s="14" t="inlineStr">
        <is>
          <t>Chef d entreprise</t>
        </is>
      </c>
      <c r="O418" s="15" t="inlineStr">
        <is>
          <t>10305</t>
        </is>
      </c>
    </row>
    <row r="419" ht="20" customHeight="1">
      <c r="A419" s="16" t="inlineStr">
        <is>
          <t>PAEA-CCISM-0418</t>
        </is>
      </c>
      <c r="B419" s="16" t="inlineStr">
        <is>
          <t>375741</t>
        </is>
      </c>
      <c r="C419" s="17" t="inlineStr">
        <is>
          <t>HUUTI LEWIS</t>
        </is>
      </c>
      <c r="D419" s="17" t="inlineStr">
        <is>
          <t>FAREREA 98711 PAEA</t>
        </is>
      </c>
      <c r="E419" s="17" t="inlineStr">
        <is>
          <t>Patenté (Personne Physique)</t>
        </is>
      </c>
      <c r="F419" s="17" t="inlineStr">
        <is>
          <t>Patenté</t>
        </is>
      </c>
      <c r="G419" s="16" t="inlineStr">
        <is>
          <t>3299Z</t>
        </is>
      </c>
      <c r="H419" s="16" t="inlineStr">
        <is>
          <t>M</t>
        </is>
      </c>
      <c r="I419" s="17" t="inlineStr">
        <is>
          <t>Métiers &amp; Artisanat</t>
        </is>
      </c>
      <c r="J419" s="18" t="n">
        <v>0</v>
      </c>
      <c r="K419" s="18" t="n">
        <v>1</v>
      </c>
      <c r="L419" s="17" t="inlineStr">
        <is>
          <t>12 1220 A</t>
        </is>
      </c>
      <c r="M419" s="17" t="inlineStr">
        <is>
          <t>M HUUTI LEWIS</t>
        </is>
      </c>
      <c r="N419" s="17" t="inlineStr">
        <is>
          <t>Chef d entreprise</t>
        </is>
      </c>
      <c r="O419" s="18" t="inlineStr">
        <is>
          <t>10309</t>
        </is>
      </c>
    </row>
    <row r="420" ht="20" customHeight="1">
      <c r="A420" s="13" t="inlineStr">
        <is>
          <t>PAEA-CCISM-0419</t>
        </is>
      </c>
      <c r="B420" s="13" t="inlineStr">
        <is>
          <t>E99745</t>
        </is>
      </c>
      <c r="C420" s="14" t="inlineStr">
        <is>
          <t>IHORAI NEE FAURA IOANA VIRGINIE</t>
        </is>
      </c>
      <c r="D420" s="14" t="inlineStr">
        <is>
          <t>98711 PAEA</t>
        </is>
      </c>
      <c r="E420" s="14" t="inlineStr">
        <is>
          <t>Patenté (Personne Physique)</t>
        </is>
      </c>
      <c r="F420" s="14" t="inlineStr">
        <is>
          <t>Patenté</t>
        </is>
      </c>
      <c r="G420" s="13" t="inlineStr">
        <is>
          <t>3299Z</t>
        </is>
      </c>
      <c r="H420" s="13" t="inlineStr">
        <is>
          <t>M</t>
        </is>
      </c>
      <c r="I420" s="14" t="inlineStr">
        <is>
          <t>Métiers &amp; Artisanat</t>
        </is>
      </c>
      <c r="J420" s="15" t="n">
        <v>0</v>
      </c>
      <c r="K420" s="15" t="n">
        <v>1</v>
      </c>
      <c r="L420" s="14" t="inlineStr">
        <is>
          <t>22 2685 A</t>
        </is>
      </c>
      <c r="M420" s="14" t="inlineStr">
        <is>
          <t>Mme IHORAI (Née FAURA) IOANA VIRGINIE</t>
        </is>
      </c>
      <c r="N420" s="14" t="inlineStr">
        <is>
          <t>Chef d entreprise</t>
        </is>
      </c>
      <c r="O420" s="15" t="inlineStr">
        <is>
          <t>10333</t>
        </is>
      </c>
    </row>
    <row r="421" ht="20" customHeight="1">
      <c r="A421" s="16" t="inlineStr">
        <is>
          <t>PAEA-CCISM-0420</t>
        </is>
      </c>
      <c r="B421" s="16" t="inlineStr">
        <is>
          <t>E86676</t>
        </is>
      </c>
      <c r="C421" s="17" t="inlineStr">
        <is>
          <t>IOTEFA FRANCIS</t>
        </is>
      </c>
      <c r="D421" s="17" t="inlineStr">
        <is>
          <t>QRT TIAPA 98711 PAEA</t>
        </is>
      </c>
      <c r="E421" s="17" t="inlineStr">
        <is>
          <t>Patenté (Personne Physique)</t>
        </is>
      </c>
      <c r="F421" s="17" t="inlineStr">
        <is>
          <t>Patenté</t>
        </is>
      </c>
      <c r="G421" s="16" t="inlineStr">
        <is>
          <t>4339Z</t>
        </is>
      </c>
      <c r="H421" s="16" t="inlineStr">
        <is>
          <t>M</t>
        </is>
      </c>
      <c r="I421" s="17" t="inlineStr">
        <is>
          <t>Métiers &amp; Artisanat</t>
        </is>
      </c>
      <c r="J421" s="18" t="n">
        <v>0</v>
      </c>
      <c r="K421" s="18" t="n">
        <v>1</v>
      </c>
      <c r="L421" s="17" t="inlineStr">
        <is>
          <t>221852 A</t>
        </is>
      </c>
      <c r="M421" s="17" t="inlineStr">
        <is>
          <t>M IOTEFA FRANCIS</t>
        </is>
      </c>
      <c r="N421" s="17" t="inlineStr">
        <is>
          <t>Chef d entreprise</t>
        </is>
      </c>
      <c r="O421" s="18" t="inlineStr">
        <is>
          <t>10366</t>
        </is>
      </c>
    </row>
    <row r="422" ht="20" customHeight="1">
      <c r="A422" s="13" t="inlineStr">
        <is>
          <t>PAEA-CCISM-0421</t>
        </is>
      </c>
      <c r="B422" s="13" t="inlineStr">
        <is>
          <t>971556</t>
        </is>
      </c>
      <c r="C422" s="14" t="inlineStr">
        <is>
          <t>IOTEFA JEAN-MICHEL</t>
        </is>
      </c>
      <c r="D422" s="14" t="inlineStr">
        <is>
          <t>QUARTIER TIAPA 98711 PAEA</t>
        </is>
      </c>
      <c r="E422" s="14" t="inlineStr">
        <is>
          <t>Patenté (Personne Physique)</t>
        </is>
      </c>
      <c r="F422" s="14" t="inlineStr">
        <is>
          <t>Patenté</t>
        </is>
      </c>
      <c r="G422" s="13" t="inlineStr">
        <is>
          <t>4339Z</t>
        </is>
      </c>
      <c r="H422" s="13" t="inlineStr">
        <is>
          <t>M</t>
        </is>
      </c>
      <c r="I422" s="14" t="inlineStr">
        <is>
          <t>Métiers &amp; Artisanat</t>
        </is>
      </c>
      <c r="J422" s="15" t="n">
        <v>0</v>
      </c>
      <c r="K422" s="15" t="n">
        <v>1</v>
      </c>
      <c r="L422" s="14" t="inlineStr">
        <is>
          <t>19 2466 A</t>
        </is>
      </c>
      <c r="M422" s="14" t="inlineStr">
        <is>
          <t>M IOTEFA JEAN-MICHEL</t>
        </is>
      </c>
      <c r="N422" s="14" t="inlineStr">
        <is>
          <t>Chef d entreprise</t>
        </is>
      </c>
      <c r="O422" s="15" t="inlineStr">
        <is>
          <t>10368</t>
        </is>
      </c>
    </row>
    <row r="423" ht="20" customHeight="1">
      <c r="A423" s="16" t="inlineStr">
        <is>
          <t>PAEA-CCISM-0422</t>
        </is>
      </c>
      <c r="B423" s="16" t="inlineStr">
        <is>
          <t>G06993</t>
        </is>
      </c>
      <c r="C423" s="17" t="inlineStr">
        <is>
          <t>ITCHNER HEILANI</t>
        </is>
      </c>
      <c r="D423" s="17" t="inlineStr">
        <is>
          <t>OROFERO SERV. CHARLES TAFAI LOT 12A 98711 PAEA</t>
        </is>
      </c>
      <c r="E423" s="17" t="inlineStr">
        <is>
          <t>Patenté (Personne Physique)</t>
        </is>
      </c>
      <c r="F423" s="17" t="inlineStr">
        <is>
          <t>Patenté</t>
        </is>
      </c>
      <c r="G423" s="16" t="inlineStr">
        <is>
          <t>3299Z</t>
        </is>
      </c>
      <c r="H423" s="16" t="inlineStr">
        <is>
          <t>M</t>
        </is>
      </c>
      <c r="I423" s="17" t="inlineStr">
        <is>
          <t>Métiers &amp; Artisanat</t>
        </is>
      </c>
      <c r="J423" s="18" t="n">
        <v>0</v>
      </c>
      <c r="K423" s="18" t="n">
        <v>1</v>
      </c>
      <c r="L423" s="17" t="inlineStr">
        <is>
          <t>25 123 A</t>
        </is>
      </c>
      <c r="M423" s="17" t="inlineStr">
        <is>
          <t>Mme ITCHNER HEILANI</t>
        </is>
      </c>
      <c r="N423" s="17" t="inlineStr">
        <is>
          <t>Chef d entreprise</t>
        </is>
      </c>
      <c r="O423" s="18" t="inlineStr">
        <is>
          <t>10415</t>
        </is>
      </c>
    </row>
    <row r="424" ht="20" customHeight="1">
      <c r="A424" s="13" t="inlineStr">
        <is>
          <t>PAEA-CCISM-0423</t>
        </is>
      </c>
      <c r="B424" s="13" t="inlineStr">
        <is>
          <t>787861</t>
        </is>
      </c>
      <c r="C424" s="14" t="inlineStr">
        <is>
          <t>ITURAGI YASMINA ERENA</t>
        </is>
      </c>
      <c r="D424" s="14" t="inlineStr">
        <is>
          <t>PAEA PK 20.800 C/MONT - SERV.TUARAA 98711 PAEA</t>
        </is>
      </c>
      <c r="E424" s="14" t="inlineStr">
        <is>
          <t>Patenté (Personne Physique)</t>
        </is>
      </c>
      <c r="F424" s="14" t="inlineStr">
        <is>
          <t>Patenté</t>
        </is>
      </c>
      <c r="G424" s="13" t="inlineStr">
        <is>
          <t>9602A</t>
        </is>
      </c>
      <c r="H424" s="13" t="inlineStr">
        <is>
          <t>M</t>
        </is>
      </c>
      <c r="I424" s="14" t="inlineStr">
        <is>
          <t>Métiers &amp; Artisanat</t>
        </is>
      </c>
      <c r="J424" s="15" t="n">
        <v>0</v>
      </c>
      <c r="K424" s="15" t="n">
        <v>1</v>
      </c>
      <c r="L424" s="14" t="inlineStr">
        <is>
          <t>12 1114 A</t>
        </is>
      </c>
      <c r="M424" s="14" t="inlineStr">
        <is>
          <t>Mme ITURAGI YASMINA ERENA</t>
        </is>
      </c>
      <c r="N424" s="14" t="inlineStr">
        <is>
          <t>Chef d entreprise</t>
        </is>
      </c>
      <c r="O424" s="15" t="inlineStr">
        <is>
          <t>10429</t>
        </is>
      </c>
    </row>
    <row r="425" ht="20" customHeight="1">
      <c r="A425" s="16" t="inlineStr">
        <is>
          <t>PAEA-CCISM-0424</t>
        </is>
      </c>
      <c r="B425" s="16" t="inlineStr">
        <is>
          <t>G08700</t>
        </is>
      </c>
      <c r="C425" s="17" t="inlineStr">
        <is>
          <t>JALLABERT LISA</t>
        </is>
      </c>
      <c r="D425" s="17" t="inlineStr">
        <is>
          <t>AVANT LA ROUTE VALLEE OROFERO 98711 PAEA</t>
        </is>
      </c>
      <c r="E425" s="17" t="inlineStr">
        <is>
          <t>Patenté (Personne Physique)</t>
        </is>
      </c>
      <c r="F425" s="17" t="inlineStr">
        <is>
          <t>Patenté</t>
        </is>
      </c>
      <c r="G425" s="16" t="inlineStr">
        <is>
          <t>9602B</t>
        </is>
      </c>
      <c r="H425" s="16" t="inlineStr">
        <is>
          <t>M</t>
        </is>
      </c>
      <c r="I425" s="17" t="inlineStr">
        <is>
          <t>Métiers &amp; Artisanat</t>
        </is>
      </c>
      <c r="J425" s="18" t="n">
        <v>0</v>
      </c>
      <c r="K425" s="18" t="n">
        <v>1</v>
      </c>
      <c r="L425" s="17" t="inlineStr">
        <is>
          <t>25 632 A</t>
        </is>
      </c>
      <c r="M425" s="17" t="inlineStr">
        <is>
          <t>Mme JALLABERT LISA</t>
        </is>
      </c>
      <c r="N425" s="17" t="inlineStr">
        <is>
          <t>Chef d entreprise</t>
        </is>
      </c>
      <c r="O425" s="18" t="inlineStr">
        <is>
          <t>10456</t>
        </is>
      </c>
    </row>
    <row r="426" ht="20" customHeight="1">
      <c r="A426" s="13" t="inlineStr">
        <is>
          <t>PAEA-CCISM-0425</t>
        </is>
      </c>
      <c r="B426" s="13" t="inlineStr">
        <is>
          <t>256578</t>
        </is>
      </c>
      <c r="C426" s="14" t="inlineStr">
        <is>
          <t>JAMET CARLO</t>
        </is>
      </c>
      <c r="D426" s="14" t="inlineStr">
        <is>
          <t>VALLEE DE OROFERO 98711 PAEA</t>
        </is>
      </c>
      <c r="E426" s="14" t="inlineStr">
        <is>
          <t>Patenté (Personne Physique)</t>
        </is>
      </c>
      <c r="F426" s="14" t="inlineStr">
        <is>
          <t>Patenté</t>
        </is>
      </c>
      <c r="G426" s="13" t="inlineStr">
        <is>
          <t>4331Z</t>
        </is>
      </c>
      <c r="H426" s="13" t="inlineStr">
        <is>
          <t>M</t>
        </is>
      </c>
      <c r="I426" s="14" t="inlineStr">
        <is>
          <t>Métiers &amp; Artisanat</t>
        </is>
      </c>
      <c r="J426" s="15" t="n">
        <v>0</v>
      </c>
      <c r="K426" s="15" t="n">
        <v>1</v>
      </c>
      <c r="L426" s="14" t="inlineStr">
        <is>
          <t>14 1665 A</t>
        </is>
      </c>
      <c r="M426" s="14" t="inlineStr">
        <is>
          <t>M JAMET CARLO</t>
        </is>
      </c>
      <c r="N426" s="14" t="inlineStr">
        <is>
          <t>Chef d entreprise</t>
        </is>
      </c>
      <c r="O426" s="15" t="inlineStr">
        <is>
          <t>10459</t>
        </is>
      </c>
    </row>
    <row r="427" ht="20" customHeight="1">
      <c r="A427" s="16" t="inlineStr">
        <is>
          <t>PAEA-CCISM-0426</t>
        </is>
      </c>
      <c r="B427" s="16" t="inlineStr">
        <is>
          <t>328088</t>
        </is>
      </c>
      <c r="C427" s="17" t="inlineStr">
        <is>
          <t>JAMET REYNALD</t>
        </is>
      </c>
      <c r="D427" s="17" t="inlineStr">
        <is>
          <t>PAEA PK 19.500 C/MONT 98711 PAEA</t>
        </is>
      </c>
      <c r="E427" s="17" t="inlineStr">
        <is>
          <t>Patenté (Personne Physique)</t>
        </is>
      </c>
      <c r="F427" s="17" t="inlineStr">
        <is>
          <t>Patenté</t>
        </is>
      </c>
      <c r="G427" s="16" t="inlineStr">
        <is>
          <t>4120A</t>
        </is>
      </c>
      <c r="H427" s="16" t="inlineStr">
        <is>
          <t>M</t>
        </is>
      </c>
      <c r="I427" s="17" t="inlineStr">
        <is>
          <t>Métiers &amp; Artisanat</t>
        </is>
      </c>
      <c r="J427" s="18" t="n">
        <v>4</v>
      </c>
      <c r="K427" s="18" t="n">
        <v>1</v>
      </c>
      <c r="L427" s="17" t="inlineStr">
        <is>
          <t>23327 A</t>
        </is>
      </c>
      <c r="M427" s="17" t="inlineStr">
        <is>
          <t>M JAMET REYNALD</t>
        </is>
      </c>
      <c r="N427" s="17" t="inlineStr">
        <is>
          <t>Chef d entreprise</t>
        </is>
      </c>
      <c r="O427" s="18" t="inlineStr">
        <is>
          <t>10462</t>
        </is>
      </c>
    </row>
    <row r="428" ht="20" customHeight="1">
      <c r="A428" s="13" t="inlineStr">
        <is>
          <t>PAEA-CCISM-0427</t>
        </is>
      </c>
      <c r="B428" s="13" t="inlineStr">
        <is>
          <t>938050</t>
        </is>
      </c>
      <c r="C428" s="14" t="inlineStr">
        <is>
          <t>JENNINGS RAYMOND</t>
        </is>
      </c>
      <c r="D428" s="14" t="inlineStr">
        <is>
          <t>RTE DE LA VALLEE OROFERO SERV RAIPAI 98711 PAEA</t>
        </is>
      </c>
      <c r="E428" s="14" t="inlineStr">
        <is>
          <t>Patenté (Personne Physique)</t>
        </is>
      </c>
      <c r="F428" s="14" t="inlineStr">
        <is>
          <t>Patenté</t>
        </is>
      </c>
      <c r="G428" s="13" t="inlineStr">
        <is>
          <t>8130Z</t>
        </is>
      </c>
      <c r="H428" s="13" t="inlineStr">
        <is>
          <t>M</t>
        </is>
      </c>
      <c r="I428" s="14" t="inlineStr">
        <is>
          <t>Métiers &amp; Artisanat</t>
        </is>
      </c>
      <c r="J428" s="15" t="n">
        <v>0</v>
      </c>
      <c r="K428" s="15" t="n">
        <v>1</v>
      </c>
      <c r="L428" s="14" t="inlineStr">
        <is>
          <t>10 343 A</t>
        </is>
      </c>
      <c r="M428" s="14" t="inlineStr">
        <is>
          <t>M JENNINGS RAYMOND</t>
        </is>
      </c>
      <c r="N428" s="14" t="inlineStr">
        <is>
          <t>Chef d entreprise</t>
        </is>
      </c>
      <c r="O428" s="15" t="inlineStr">
        <is>
          <t>10481</t>
        </is>
      </c>
    </row>
    <row r="429" ht="20" customHeight="1">
      <c r="A429" s="16" t="inlineStr">
        <is>
          <t>PAEA-CCISM-0428</t>
        </is>
      </c>
      <c r="B429" s="16" t="inlineStr">
        <is>
          <t>975094</t>
        </is>
      </c>
      <c r="C429" s="17" t="inlineStr">
        <is>
          <t>JORDAN HENRI ANTOINE GUY</t>
        </is>
      </c>
      <c r="D429" s="17" t="inlineStr">
        <is>
          <t>PAEA PK 22.100 C/MONT - SERV. BRILLANT 98711 PAEA</t>
        </is>
      </c>
      <c r="E429" s="17" t="inlineStr">
        <is>
          <t>Patenté (Personne Physique)</t>
        </is>
      </c>
      <c r="F429" s="17" t="inlineStr">
        <is>
          <t>Patenté</t>
        </is>
      </c>
      <c r="G429" s="16" t="inlineStr">
        <is>
          <t>4332A</t>
        </is>
      </c>
      <c r="H429" s="16" t="inlineStr">
        <is>
          <t>M</t>
        </is>
      </c>
      <c r="I429" s="17" t="inlineStr">
        <is>
          <t>Métiers &amp; Artisanat</t>
        </is>
      </c>
      <c r="J429" s="18" t="n">
        <v>0</v>
      </c>
      <c r="K429" s="18" t="n">
        <v>1</v>
      </c>
      <c r="L429" s="17" t="inlineStr">
        <is>
          <t>11 479 A</t>
        </is>
      </c>
      <c r="M429" s="17" t="inlineStr">
        <is>
          <t>M JORDAN HENRI ANTOINE GUY</t>
        </is>
      </c>
      <c r="N429" s="17" t="inlineStr">
        <is>
          <t>Chef d entreprise</t>
        </is>
      </c>
      <c r="O429" s="18" t="inlineStr">
        <is>
          <t>10510</t>
        </is>
      </c>
    </row>
    <row r="430" ht="20" customHeight="1">
      <c r="A430" s="13" t="inlineStr">
        <is>
          <t>PAEA-CCISM-0429</t>
        </is>
      </c>
      <c r="B430" s="13" t="inlineStr">
        <is>
          <t>A37637</t>
        </is>
      </c>
      <c r="C430" s="14" t="inlineStr">
        <is>
          <t>JOUEN HUBERT</t>
        </is>
      </c>
      <c r="D430" s="14" t="inlineStr">
        <is>
          <t>QT BREMOND 98711 PAEA</t>
        </is>
      </c>
      <c r="E430" s="14" t="inlineStr">
        <is>
          <t>Patenté (Personne Physique)</t>
        </is>
      </c>
      <c r="F430" s="14" t="inlineStr">
        <is>
          <t>Patenté</t>
        </is>
      </c>
      <c r="G430" s="13" t="inlineStr">
        <is>
          <t>4520A</t>
        </is>
      </c>
      <c r="H430" s="13" t="inlineStr">
        <is>
          <t>M</t>
        </is>
      </c>
      <c r="I430" s="14" t="inlineStr">
        <is>
          <t>Métiers &amp; Artisanat</t>
        </is>
      </c>
      <c r="J430" s="15" t="n">
        <v>1</v>
      </c>
      <c r="K430" s="15" t="n">
        <v>1</v>
      </c>
      <c r="L430" s="14" t="inlineStr">
        <is>
          <t>12 1444 A</t>
        </is>
      </c>
      <c r="M430" s="14" t="inlineStr">
        <is>
          <t>M JOUEN HUBERT</t>
        </is>
      </c>
      <c r="N430" s="14" t="inlineStr">
        <is>
          <t>Chef d entreprise</t>
        </is>
      </c>
      <c r="O430" s="15" t="inlineStr">
        <is>
          <t>10517</t>
        </is>
      </c>
    </row>
    <row r="431" ht="20" customHeight="1">
      <c r="A431" s="16" t="inlineStr">
        <is>
          <t>PAEA-CCISM-0430</t>
        </is>
      </c>
      <c r="B431" s="16" t="inlineStr">
        <is>
          <t>A78524</t>
        </is>
      </c>
      <c r="C431" s="17" t="inlineStr">
        <is>
          <t>JOUEN TEPUNAVAI JEAN</t>
        </is>
      </c>
      <c r="D431" s="17" t="inlineStr">
        <is>
          <t>98711 PAEA</t>
        </is>
      </c>
      <c r="E431" s="17" t="inlineStr">
        <is>
          <t>Patenté (Personne Physique)</t>
        </is>
      </c>
      <c r="F431" s="17" t="inlineStr">
        <is>
          <t>Patenté</t>
        </is>
      </c>
      <c r="G431" s="16" t="inlineStr">
        <is>
          <t>3315Z</t>
        </is>
      </c>
      <c r="H431" s="16" t="inlineStr">
        <is>
          <t>M</t>
        </is>
      </c>
      <c r="I431" s="17" t="inlineStr">
        <is>
          <t>Métiers &amp; Artisanat</t>
        </is>
      </c>
      <c r="J431" s="18" t="n">
        <v>0</v>
      </c>
      <c r="K431" s="18" t="n">
        <v>1</v>
      </c>
      <c r="L431" s="17" t="inlineStr">
        <is>
          <t>13 1544 A</t>
        </is>
      </c>
      <c r="M431" s="17" t="inlineStr">
        <is>
          <t>M JOUEN TEPUNAVAI JEAN</t>
        </is>
      </c>
      <c r="N431" s="17" t="inlineStr">
        <is>
          <t>Chef d entreprise</t>
        </is>
      </c>
      <c r="O431" s="18" t="inlineStr">
        <is>
          <t>10520</t>
        </is>
      </c>
    </row>
    <row r="432" ht="20" customHeight="1">
      <c r="A432" s="13" t="inlineStr">
        <is>
          <t>PAEA-CCISM-0431</t>
        </is>
      </c>
      <c r="B432" s="13" t="inlineStr">
        <is>
          <t>F87698</t>
        </is>
      </c>
      <c r="C432" s="14" t="inlineStr">
        <is>
          <t>JOUSSEMET CORENTIN</t>
        </is>
      </c>
      <c r="D432" s="14" t="inlineStr">
        <is>
          <t>98711 PAEA</t>
        </is>
      </c>
      <c r="E432" s="14" t="inlineStr">
        <is>
          <t>Patenté (Personne Physique)</t>
        </is>
      </c>
      <c r="F432" s="14" t="inlineStr">
        <is>
          <t>Patenté</t>
        </is>
      </c>
      <c r="G432" s="13" t="inlineStr">
        <is>
          <t>4333Z</t>
        </is>
      </c>
      <c r="H432" s="13" t="inlineStr">
        <is>
          <t>M</t>
        </is>
      </c>
      <c r="I432" s="14" t="inlineStr">
        <is>
          <t>Métiers &amp; Artisanat</t>
        </is>
      </c>
      <c r="J432" s="15" t="n">
        <v>0</v>
      </c>
      <c r="K432" s="15" t="n">
        <v>1</v>
      </c>
      <c r="L432" s="14" t="inlineStr">
        <is>
          <t>24 2194 A</t>
        </is>
      </c>
      <c r="M432" s="14" t="inlineStr">
        <is>
          <t>M JOUSSEMET CORENTIN</t>
        </is>
      </c>
      <c r="N432" s="14" t="inlineStr">
        <is>
          <t>Chef d entreprise</t>
        </is>
      </c>
      <c r="O432" s="15" t="inlineStr">
        <is>
          <t>10524</t>
        </is>
      </c>
    </row>
    <row r="433" ht="20" customHeight="1">
      <c r="A433" s="16" t="inlineStr">
        <is>
          <t>PAEA-CCISM-0432</t>
        </is>
      </c>
      <c r="B433" s="16" t="inlineStr">
        <is>
          <t>G08890</t>
        </is>
      </c>
      <c r="C433" s="17" t="inlineStr">
        <is>
          <t>JUBELY ATELY PUROTU</t>
        </is>
      </c>
      <c r="D433" s="17" t="inlineStr">
        <is>
          <t>QTR FULLER 98711 PAEA</t>
        </is>
      </c>
      <c r="E433" s="17" t="inlineStr">
        <is>
          <t>Patenté (Personne Physique)</t>
        </is>
      </c>
      <c r="F433" s="17" t="inlineStr">
        <is>
          <t>Patenté</t>
        </is>
      </c>
      <c r="G433" s="16" t="inlineStr">
        <is>
          <t>9602B</t>
        </is>
      </c>
      <c r="H433" s="16" t="inlineStr">
        <is>
          <t>M</t>
        </is>
      </c>
      <c r="I433" s="17" t="inlineStr">
        <is>
          <t>Métiers &amp; Artisanat</t>
        </is>
      </c>
      <c r="J433" s="18" t="n">
        <v>0</v>
      </c>
      <c r="K433" s="18" t="n">
        <v>1</v>
      </c>
      <c r="L433" s="17" t="inlineStr">
        <is>
          <t>25 165 A</t>
        </is>
      </c>
      <c r="M433" s="17" t="inlineStr">
        <is>
          <t>Mme JUBELY ATELY PUROTU</t>
        </is>
      </c>
      <c r="N433" s="17" t="inlineStr">
        <is>
          <t>Chef d entreprise</t>
        </is>
      </c>
      <c r="O433" s="18" t="inlineStr">
        <is>
          <t>10538</t>
        </is>
      </c>
    </row>
    <row r="434" ht="20" customHeight="1">
      <c r="A434" s="13" t="inlineStr">
        <is>
          <t>PAEA-CCISM-0433</t>
        </is>
      </c>
      <c r="B434" s="13" t="inlineStr">
        <is>
          <t>652081</t>
        </is>
      </c>
      <c r="C434" s="14" t="inlineStr">
        <is>
          <t>KAHIEHITU MORENO</t>
        </is>
      </c>
      <c r="D434" s="14" t="inlineStr">
        <is>
          <t>SERVITUDE PAROA N°3 98711 PAEA</t>
        </is>
      </c>
      <c r="E434" s="14" t="inlineStr">
        <is>
          <t>Patenté (Personne Physique)</t>
        </is>
      </c>
      <c r="F434" s="14" t="inlineStr">
        <is>
          <t>Patenté</t>
        </is>
      </c>
      <c r="G434" s="13" t="inlineStr">
        <is>
          <t>4520A</t>
        </is>
      </c>
      <c r="H434" s="13" t="inlineStr">
        <is>
          <t>M</t>
        </is>
      </c>
      <c r="I434" s="14" t="inlineStr">
        <is>
          <t>Métiers &amp; Artisanat</t>
        </is>
      </c>
      <c r="J434" s="15" t="n">
        <v>0</v>
      </c>
      <c r="K434" s="15" t="n">
        <v>1</v>
      </c>
      <c r="L434" s="14" t="inlineStr">
        <is>
          <t>19 10 A</t>
        </is>
      </c>
      <c r="M434" s="14" t="inlineStr">
        <is>
          <t>M KAHIEHITU MORENO</t>
        </is>
      </c>
      <c r="N434" s="14" t="inlineStr">
        <is>
          <t>Chef d entreprise</t>
        </is>
      </c>
      <c r="O434" s="15" t="inlineStr">
        <is>
          <t>10562</t>
        </is>
      </c>
    </row>
    <row r="435" ht="20" customHeight="1">
      <c r="A435" s="16" t="inlineStr">
        <is>
          <t>PAEA-CCISM-0434</t>
        </is>
      </c>
      <c r="B435" s="16" t="inlineStr">
        <is>
          <t>876425</t>
        </is>
      </c>
      <c r="C435" s="17" t="inlineStr">
        <is>
          <t>KAIKILEKOFE MALIA</t>
        </is>
      </c>
      <c r="D435" s="17" t="inlineStr">
        <is>
          <t>98711 PAEA</t>
        </is>
      </c>
      <c r="E435" s="17" t="inlineStr">
        <is>
          <t>Patenté (Personne Physique)</t>
        </is>
      </c>
      <c r="F435" s="17" t="inlineStr">
        <is>
          <t>Patenté</t>
        </is>
      </c>
      <c r="G435" s="16" t="inlineStr">
        <is>
          <t>4334Z</t>
        </is>
      </c>
      <c r="H435" s="16" t="inlineStr">
        <is>
          <t>M</t>
        </is>
      </c>
      <c r="I435" s="17" t="inlineStr">
        <is>
          <t>Métiers &amp; Artisanat</t>
        </is>
      </c>
      <c r="J435" s="18" t="n">
        <v>0</v>
      </c>
      <c r="K435" s="18" t="n">
        <v>1</v>
      </c>
      <c r="L435" s="17" t="inlineStr">
        <is>
          <t>14 2298 A</t>
        </is>
      </c>
      <c r="M435" s="17" t="inlineStr">
        <is>
          <t>Mme KAIKILEKOFE MALIA</t>
        </is>
      </c>
      <c r="N435" s="17" t="inlineStr">
        <is>
          <t>Chef d entreprise</t>
        </is>
      </c>
      <c r="O435" s="18" t="inlineStr">
        <is>
          <t>10576</t>
        </is>
      </c>
    </row>
    <row r="436" ht="20" customHeight="1">
      <c r="A436" s="13" t="inlineStr">
        <is>
          <t>PAEA-CCISM-0435</t>
        </is>
      </c>
      <c r="B436" s="13" t="inlineStr">
        <is>
          <t>G08742</t>
        </is>
      </c>
      <c r="C436" s="14" t="inlineStr">
        <is>
          <t>KAU-TAI MANUTEA</t>
        </is>
      </c>
      <c r="D436" s="14" t="inlineStr">
        <is>
          <t>98711 PAEA</t>
        </is>
      </c>
      <c r="E436" s="14" t="inlineStr">
        <is>
          <t>Patenté (Personne Physique)</t>
        </is>
      </c>
      <c r="F436" s="14" t="inlineStr">
        <is>
          <t>Patenté</t>
        </is>
      </c>
      <c r="G436" s="13" t="inlineStr">
        <is>
          <t>3230Z</t>
        </is>
      </c>
      <c r="H436" s="13" t="inlineStr">
        <is>
          <t>M</t>
        </is>
      </c>
      <c r="I436" s="14" t="inlineStr">
        <is>
          <t>Métiers &amp; Artisanat</t>
        </is>
      </c>
      <c r="J436" s="15" t="n">
        <v>0</v>
      </c>
      <c r="K436" s="15" t="n">
        <v>1</v>
      </c>
      <c r="L436" s="14" t="inlineStr">
        <is>
          <t>25 259 A</t>
        </is>
      </c>
      <c r="M436" s="14" t="inlineStr">
        <is>
          <t>M KAU-TAI MANUTEA</t>
        </is>
      </c>
      <c r="N436" s="14" t="inlineStr">
        <is>
          <t>Chef d entreprise</t>
        </is>
      </c>
      <c r="O436" s="15" t="inlineStr">
        <is>
          <t>10610</t>
        </is>
      </c>
    </row>
    <row r="437" ht="20" customHeight="1">
      <c r="A437" s="16" t="inlineStr">
        <is>
          <t>PAEA-CCISM-0436</t>
        </is>
      </c>
      <c r="B437" s="16" t="inlineStr">
        <is>
          <t>D03153</t>
        </is>
      </c>
      <c r="C437" s="17" t="inlineStr">
        <is>
          <t>KECK MOHEA</t>
        </is>
      </c>
      <c r="D437" s="17" t="inlineStr">
        <is>
          <t>98711 PAEA</t>
        </is>
      </c>
      <c r="E437" s="17" t="inlineStr">
        <is>
          <t>Patenté (Personne Physique)</t>
        </is>
      </c>
      <c r="F437" s="17" t="inlineStr">
        <is>
          <t>Patenté</t>
        </is>
      </c>
      <c r="G437" s="16" t="inlineStr">
        <is>
          <t>3213Z</t>
        </is>
      </c>
      <c r="H437" s="16" t="inlineStr">
        <is>
          <t>M</t>
        </is>
      </c>
      <c r="I437" s="17" t="inlineStr">
        <is>
          <t>Métiers &amp; Artisanat</t>
        </is>
      </c>
      <c r="J437" s="18" t="n">
        <v>0</v>
      </c>
      <c r="K437" s="18" t="n">
        <v>1</v>
      </c>
      <c r="L437" s="17" t="inlineStr">
        <is>
          <t>18 2742 A</t>
        </is>
      </c>
      <c r="M437" s="17" t="inlineStr">
        <is>
          <t>Mme KECK MOHEA</t>
        </is>
      </c>
      <c r="N437" s="17" t="inlineStr">
        <is>
          <t>Chef d entreprise</t>
        </is>
      </c>
      <c r="O437" s="18" t="inlineStr">
        <is>
          <t>10626</t>
        </is>
      </c>
    </row>
    <row r="438" ht="20" customHeight="1">
      <c r="A438" s="13" t="inlineStr">
        <is>
          <t>PAEA-CCISM-0437</t>
        </is>
      </c>
      <c r="B438" s="13" t="inlineStr">
        <is>
          <t>674838</t>
        </is>
      </c>
      <c r="C438" s="14" t="inlineStr">
        <is>
          <t>KETFI PHILIPPE SIF-EDINE DJAMEL</t>
        </is>
      </c>
      <c r="D438" s="14" t="inlineStr">
        <is>
          <t>PAEA PK 24.400 C/MONT - RESID MANAVA N 98711 PAEA</t>
        </is>
      </c>
      <c r="E438" s="14" t="inlineStr">
        <is>
          <t>Patenté (Personne Physique)</t>
        </is>
      </c>
      <c r="F438" s="14" t="inlineStr">
        <is>
          <t>Patenté</t>
        </is>
      </c>
      <c r="G438" s="13" t="inlineStr">
        <is>
          <t>1071D</t>
        </is>
      </c>
      <c r="H438" s="13" t="inlineStr">
        <is>
          <t>M</t>
        </is>
      </c>
      <c r="I438" s="14" t="inlineStr">
        <is>
          <t>Métiers &amp; Artisanat</t>
        </is>
      </c>
      <c r="J438" s="15" t="n">
        <v>0</v>
      </c>
      <c r="K438" s="15" t="n">
        <v>1</v>
      </c>
      <c r="L438" s="14" t="inlineStr">
        <is>
          <t>43960 A</t>
        </is>
      </c>
      <c r="M438" s="14" t="inlineStr">
        <is>
          <t>M KETFI PHILIPPE SIF-EDINE DJAMEL</t>
        </is>
      </c>
      <c r="N438" s="14" t="inlineStr">
        <is>
          <t>Chef d entreprise</t>
        </is>
      </c>
      <c r="O438" s="15" t="inlineStr">
        <is>
          <t>10651</t>
        </is>
      </c>
    </row>
    <row r="439" ht="20" customHeight="1">
      <c r="A439" s="16" t="inlineStr">
        <is>
          <t>PAEA-CCISM-0438</t>
        </is>
      </c>
      <c r="B439" s="16" t="inlineStr">
        <is>
          <t>A12622</t>
        </is>
      </c>
      <c r="C439" s="17" t="inlineStr">
        <is>
          <t>KOAN NEE TEMAURI LAYOMA</t>
        </is>
      </c>
      <c r="D439" s="17" t="inlineStr">
        <is>
          <t>RESIDENCE TAREVAREVA 98711 PAEA</t>
        </is>
      </c>
      <c r="E439" s="17" t="inlineStr">
        <is>
          <t>Patenté (Personne Physique)</t>
        </is>
      </c>
      <c r="F439" s="17" t="inlineStr">
        <is>
          <t>Patenté</t>
        </is>
      </c>
      <c r="G439" s="16" t="inlineStr">
        <is>
          <t>2042Z</t>
        </is>
      </c>
      <c r="H439" s="16" t="inlineStr">
        <is>
          <t>M</t>
        </is>
      </c>
      <c r="I439" s="17" t="inlineStr">
        <is>
          <t>Métiers &amp; Artisanat</t>
        </is>
      </c>
      <c r="J439" s="18" t="n">
        <v>0</v>
      </c>
      <c r="K439" s="18" t="n">
        <v>1</v>
      </c>
      <c r="L439" s="17" t="inlineStr">
        <is>
          <t>20 2347 A</t>
        </is>
      </c>
      <c r="M439" s="17" t="inlineStr">
        <is>
          <t>Mme KOAN (Née TEMAURI) LAYOMA</t>
        </is>
      </c>
      <c r="N439" s="17" t="inlineStr">
        <is>
          <t>Chef d entreprise</t>
        </is>
      </c>
      <c r="O439" s="18" t="inlineStr">
        <is>
          <t>10674</t>
        </is>
      </c>
    </row>
    <row r="440" ht="20" customHeight="1">
      <c r="A440" s="13" t="inlineStr">
        <is>
          <t>PAEA-CCISM-0439</t>
        </is>
      </c>
      <c r="B440" s="13" t="inlineStr">
        <is>
          <t>B75965</t>
        </is>
      </c>
      <c r="C440" s="14" t="inlineStr">
        <is>
          <t>KONG SINARA</t>
        </is>
      </c>
      <c r="D440" s="14" t="inlineStr">
        <is>
          <t>98711 PAEA</t>
        </is>
      </c>
      <c r="E440" s="14" t="inlineStr">
        <is>
          <t>Patenté (Personne Physique)</t>
        </is>
      </c>
      <c r="F440" s="14" t="inlineStr">
        <is>
          <t>Patenté</t>
        </is>
      </c>
      <c r="G440" s="13" t="inlineStr">
        <is>
          <t>9602B</t>
        </is>
      </c>
      <c r="H440" s="13" t="inlineStr">
        <is>
          <t>M</t>
        </is>
      </c>
      <c r="I440" s="14" t="inlineStr">
        <is>
          <t>Métiers &amp; Artisanat</t>
        </is>
      </c>
      <c r="J440" s="15" t="n">
        <v>1</v>
      </c>
      <c r="K440" s="15" t="n">
        <v>1</v>
      </c>
      <c r="L440" s="14" t="inlineStr">
        <is>
          <t>16 5 A</t>
        </is>
      </c>
      <c r="M440" s="14" t="inlineStr">
        <is>
          <t>Mme KONG SINARA</t>
        </is>
      </c>
      <c r="N440" s="14" t="inlineStr">
        <is>
          <t>Chef d entreprise</t>
        </is>
      </c>
      <c r="O440" s="15" t="inlineStr">
        <is>
          <t>10706</t>
        </is>
      </c>
    </row>
    <row r="441" ht="20" customHeight="1">
      <c r="A441" s="16" t="inlineStr">
        <is>
          <t>PAEA-CCISM-0440</t>
        </is>
      </c>
      <c r="B441" s="16" t="inlineStr">
        <is>
          <t>F65660</t>
        </is>
      </c>
      <c r="C441" s="17" t="inlineStr">
        <is>
          <t>KUBIAK THIERRY JEAN</t>
        </is>
      </c>
      <c r="D441" s="17" t="inlineStr">
        <is>
          <t>98711 PAEA</t>
        </is>
      </c>
      <c r="E441" s="17" t="inlineStr">
        <is>
          <t>Patenté (Personne Physique)</t>
        </is>
      </c>
      <c r="F441" s="17" t="inlineStr">
        <is>
          <t>Patenté</t>
        </is>
      </c>
      <c r="G441" s="16" t="inlineStr">
        <is>
          <t>9529Z</t>
        </is>
      </c>
      <c r="H441" s="16" t="inlineStr">
        <is>
          <t>M</t>
        </is>
      </c>
      <c r="I441" s="17" t="inlineStr">
        <is>
          <t>Métiers &amp; Artisanat</t>
        </is>
      </c>
      <c r="J441" s="18" t="n">
        <v>0</v>
      </c>
      <c r="K441" s="18" t="n">
        <v>1</v>
      </c>
      <c r="L441" s="17" t="inlineStr">
        <is>
          <t>24 41 A</t>
        </is>
      </c>
      <c r="M441" s="17" t="inlineStr">
        <is>
          <t>M KUBIAK THIERRY JEAN</t>
        </is>
      </c>
      <c r="N441" s="17" t="inlineStr">
        <is>
          <t>Chef d entreprise</t>
        </is>
      </c>
      <c r="O441" s="18" t="inlineStr">
        <is>
          <t>10730</t>
        </is>
      </c>
    </row>
    <row r="442" ht="20" customHeight="1">
      <c r="A442" s="13" t="inlineStr">
        <is>
          <t>PAEA-CCISM-0441</t>
        </is>
      </c>
      <c r="B442" s="13" t="inlineStr">
        <is>
          <t>687590</t>
        </is>
      </c>
      <c r="C442" s="14" t="inlineStr">
        <is>
          <t>LAFON STEPHANIE AURELIE</t>
        </is>
      </c>
      <c r="D442" s="14" t="inlineStr">
        <is>
          <t>PAEA PK 18.800 C/MONT 98711 PAEA</t>
        </is>
      </c>
      <c r="E442" s="14" t="inlineStr">
        <is>
          <t>Patenté (Personne Physique)</t>
        </is>
      </c>
      <c r="F442" s="14" t="inlineStr">
        <is>
          <t>Patenté</t>
        </is>
      </c>
      <c r="G442" s="13" t="inlineStr">
        <is>
          <t>9602A</t>
        </is>
      </c>
      <c r="H442" s="13" t="inlineStr">
        <is>
          <t>M</t>
        </is>
      </c>
      <c r="I442" s="14" t="inlineStr">
        <is>
          <t>Métiers &amp; Artisanat</t>
        </is>
      </c>
      <c r="J442" s="15" t="n">
        <v>0</v>
      </c>
      <c r="K442" s="15" t="n">
        <v>1</v>
      </c>
      <c r="L442" s="14" t="inlineStr">
        <is>
          <t>44695 A</t>
        </is>
      </c>
      <c r="M442" s="14" t="inlineStr">
        <is>
          <t>Mme LAFON STEPHANIE AURELIE</t>
        </is>
      </c>
      <c r="N442" s="14" t="inlineStr">
        <is>
          <t>Chef d entreprise</t>
        </is>
      </c>
      <c r="O442" s="15" t="inlineStr">
        <is>
          <t>10774</t>
        </is>
      </c>
    </row>
    <row r="443" ht="20" customHeight="1">
      <c r="A443" s="16" t="inlineStr">
        <is>
          <t>PAEA-CCISM-0442</t>
        </is>
      </c>
      <c r="B443" s="16" t="inlineStr">
        <is>
          <t>F20590</t>
        </is>
      </c>
      <c r="C443" s="17" t="inlineStr">
        <is>
          <t>LAI AH CHE EVANS</t>
        </is>
      </c>
      <c r="D443" s="17" t="inlineStr">
        <is>
          <t>RTE DU LOTISSEMENT TIARE LOTIS. TIARE 98711 PAEA</t>
        </is>
      </c>
      <c r="E443" s="17" t="inlineStr">
        <is>
          <t>Patenté (Personne Physique)</t>
        </is>
      </c>
      <c r="F443" s="17" t="inlineStr">
        <is>
          <t>Patenté</t>
        </is>
      </c>
      <c r="G443" s="16" t="inlineStr">
        <is>
          <t>4520A</t>
        </is>
      </c>
      <c r="H443" s="16" t="inlineStr">
        <is>
          <t>M</t>
        </is>
      </c>
      <c r="I443" s="17" t="inlineStr">
        <is>
          <t>Métiers &amp; Artisanat</t>
        </is>
      </c>
      <c r="J443" s="18" t="n">
        <v>0</v>
      </c>
      <c r="K443" s="18" t="n">
        <v>1</v>
      </c>
      <c r="L443" s="17" t="inlineStr">
        <is>
          <t>23 490 A</t>
        </is>
      </c>
      <c r="M443" s="17" t="inlineStr">
        <is>
          <t>M LAI AH CHE EVANS</t>
        </is>
      </c>
      <c r="N443" s="17" t="inlineStr">
        <is>
          <t>Chef d entreprise</t>
        </is>
      </c>
      <c r="O443" s="18" t="inlineStr">
        <is>
          <t>10786</t>
        </is>
      </c>
    </row>
    <row r="444" ht="20" customHeight="1">
      <c r="A444" s="13" t="inlineStr">
        <is>
          <t>PAEA-CCISM-0443</t>
        </is>
      </c>
      <c r="B444" s="13" t="inlineStr">
        <is>
          <t>633057</t>
        </is>
      </c>
      <c r="C444" s="14" t="inlineStr">
        <is>
          <t>LAINE STEPHANE PIERRE</t>
        </is>
      </c>
      <c r="D444" s="14" t="inlineStr">
        <is>
          <t>SERV BRILLANT 98711 PAEA</t>
        </is>
      </c>
      <c r="E444" s="14" t="inlineStr">
        <is>
          <t>Patenté (Personne Physique)</t>
        </is>
      </c>
      <c r="F444" s="14" t="inlineStr">
        <is>
          <t>Patenté</t>
        </is>
      </c>
      <c r="G444" s="13" t="inlineStr">
        <is>
          <t>4520A</t>
        </is>
      </c>
      <c r="H444" s="13" t="inlineStr">
        <is>
          <t>M</t>
        </is>
      </c>
      <c r="I444" s="14" t="inlineStr">
        <is>
          <t>Métiers &amp; Artisanat</t>
        </is>
      </c>
      <c r="J444" s="15" t="n">
        <v>0</v>
      </c>
      <c r="K444" s="15" t="n">
        <v>1</v>
      </c>
      <c r="L444" s="14" t="inlineStr">
        <is>
          <t>25 48 A</t>
        </is>
      </c>
      <c r="M444" s="14" t="inlineStr">
        <is>
          <t>M LAINE STEPHANE PIERRE</t>
        </is>
      </c>
      <c r="N444" s="14" t="inlineStr">
        <is>
          <t>Chef d entreprise</t>
        </is>
      </c>
      <c r="O444" s="15" t="inlineStr">
        <is>
          <t>10819</t>
        </is>
      </c>
    </row>
    <row r="445" ht="20" customHeight="1">
      <c r="A445" s="16" t="inlineStr">
        <is>
          <t>PAEA-CCISM-0444</t>
        </is>
      </c>
      <c r="B445" s="16" t="inlineStr">
        <is>
          <t>555896</t>
        </is>
      </c>
      <c r="C445" s="17" t="inlineStr">
        <is>
          <t>LAKINA ALEXANDRE</t>
        </is>
      </c>
      <c r="D445" s="17" t="inlineStr">
        <is>
          <t>98711 PAEA</t>
        </is>
      </c>
      <c r="E445" s="17" t="inlineStr">
        <is>
          <t>Patenté (Personne Physique)</t>
        </is>
      </c>
      <c r="F445" s="17" t="inlineStr">
        <is>
          <t>Patenté</t>
        </is>
      </c>
      <c r="G445" s="16" t="inlineStr">
        <is>
          <t>4399C</t>
        </is>
      </c>
      <c r="H445" s="16" t="inlineStr">
        <is>
          <t>M</t>
        </is>
      </c>
      <c r="I445" s="17" t="inlineStr">
        <is>
          <t>Métiers &amp; Artisanat</t>
        </is>
      </c>
      <c r="J445" s="18" t="n">
        <v>0</v>
      </c>
      <c r="K445" s="18" t="n">
        <v>1</v>
      </c>
      <c r="L445" s="17" t="inlineStr">
        <is>
          <t>22 2621 A</t>
        </is>
      </c>
      <c r="M445" s="17" t="inlineStr">
        <is>
          <t>M LAKINA ALEXANDRE</t>
        </is>
      </c>
      <c r="N445" s="17" t="inlineStr">
        <is>
          <t>Chef d entreprise</t>
        </is>
      </c>
      <c r="O445" s="18" t="inlineStr">
        <is>
          <t>10822</t>
        </is>
      </c>
    </row>
    <row r="446" ht="20" customHeight="1">
      <c r="A446" s="13" t="inlineStr">
        <is>
          <t>PAEA-CCISM-0445</t>
        </is>
      </c>
      <c r="B446" s="13" t="inlineStr">
        <is>
          <t>E94720</t>
        </is>
      </c>
      <c r="C446" s="14" t="inlineStr">
        <is>
          <t>LAKINA ERICK STANISLAS</t>
        </is>
      </c>
      <c r="D446" s="14" t="inlineStr">
        <is>
          <t>98711 PAEA</t>
        </is>
      </c>
      <c r="E446" s="14" t="inlineStr">
        <is>
          <t>Patenté (Personne Physique)</t>
        </is>
      </c>
      <c r="F446" s="14" t="inlineStr">
        <is>
          <t>Patenté</t>
        </is>
      </c>
      <c r="G446" s="13" t="inlineStr">
        <is>
          <t>4332A</t>
        </is>
      </c>
      <c r="H446" s="13" t="inlineStr">
        <is>
          <t>M</t>
        </is>
      </c>
      <c r="I446" s="14" t="inlineStr">
        <is>
          <t>Métiers &amp; Artisanat</t>
        </is>
      </c>
      <c r="J446" s="15" t="n">
        <v>0</v>
      </c>
      <c r="K446" s="15" t="n">
        <v>1</v>
      </c>
      <c r="L446" s="14" t="inlineStr">
        <is>
          <t>22 2380 A</t>
        </is>
      </c>
      <c r="M446" s="14" t="inlineStr">
        <is>
          <t>Mme LAKINA ERICK STANISLAS</t>
        </is>
      </c>
      <c r="N446" s="14" t="inlineStr">
        <is>
          <t>Chef d entreprise</t>
        </is>
      </c>
      <c r="O446" s="15" t="inlineStr">
        <is>
          <t>10823</t>
        </is>
      </c>
    </row>
    <row r="447" ht="20" customHeight="1">
      <c r="A447" s="16" t="inlineStr">
        <is>
          <t>PAEA-CCISM-0446</t>
        </is>
      </c>
      <c r="B447" s="16" t="inlineStr">
        <is>
          <t>586867</t>
        </is>
      </c>
      <c r="C447" s="17" t="inlineStr">
        <is>
          <t>LAKINA SOSEFO</t>
        </is>
      </c>
      <c r="D447" s="17" t="inlineStr">
        <is>
          <t>98711 PAEA</t>
        </is>
      </c>
      <c r="E447" s="17" t="inlineStr">
        <is>
          <t>Patenté (Personne Physique)</t>
        </is>
      </c>
      <c r="F447" s="17" t="inlineStr">
        <is>
          <t>Patenté</t>
        </is>
      </c>
      <c r="G447" s="16" t="inlineStr">
        <is>
          <t>4120B</t>
        </is>
      </c>
      <c r="H447" s="16" t="inlineStr">
        <is>
          <t>M</t>
        </is>
      </c>
      <c r="I447" s="17" t="inlineStr">
        <is>
          <t>Métiers &amp; Artisanat</t>
        </is>
      </c>
      <c r="J447" s="18" t="n">
        <v>0</v>
      </c>
      <c r="K447" s="18" t="n">
        <v>1</v>
      </c>
      <c r="L447" s="17" t="inlineStr">
        <is>
          <t>21 1692 A</t>
        </is>
      </c>
      <c r="M447" s="17" t="inlineStr">
        <is>
          <t>M LAKINA SOSEFO</t>
        </is>
      </c>
      <c r="N447" s="17" t="inlineStr">
        <is>
          <t>Chef d entreprise</t>
        </is>
      </c>
      <c r="O447" s="18" t="inlineStr">
        <is>
          <t>10824</t>
        </is>
      </c>
    </row>
    <row r="448" ht="20" customHeight="1">
      <c r="A448" s="13" t="inlineStr">
        <is>
          <t>PAEA-CCISM-0447</t>
        </is>
      </c>
      <c r="B448" s="13" t="inlineStr">
        <is>
          <t>240234</t>
        </is>
      </c>
      <c r="C448" s="14" t="inlineStr">
        <is>
          <t>LALANDEC PATRICK</t>
        </is>
      </c>
      <c r="D448" s="14" t="inlineStr">
        <is>
          <t>QUARTIER CHAPMAN 98711 PAEA</t>
        </is>
      </c>
      <c r="E448" s="14" t="inlineStr">
        <is>
          <t>Patenté (Personne Physique)</t>
        </is>
      </c>
      <c r="F448" s="14" t="inlineStr">
        <is>
          <t>Patenté</t>
        </is>
      </c>
      <c r="G448" s="13" t="inlineStr">
        <is>
          <t>4321A</t>
        </is>
      </c>
      <c r="H448" s="13" t="inlineStr">
        <is>
          <t>M</t>
        </is>
      </c>
      <c r="I448" s="14" t="inlineStr">
        <is>
          <t>Métiers &amp; Artisanat</t>
        </is>
      </c>
      <c r="J448" s="15" t="n">
        <v>0</v>
      </c>
      <c r="K448" s="15" t="n">
        <v>1</v>
      </c>
      <c r="L448" s="14" t="inlineStr">
        <is>
          <t>19158 A</t>
        </is>
      </c>
      <c r="M448" s="14" t="inlineStr">
        <is>
          <t>M LALANDEC PATRICK</t>
        </is>
      </c>
      <c r="N448" s="14" t="inlineStr">
        <is>
          <t>Chef d entreprise</t>
        </is>
      </c>
      <c r="O448" s="15" t="inlineStr">
        <is>
          <t>10825</t>
        </is>
      </c>
    </row>
    <row r="449" ht="20" customHeight="1">
      <c r="A449" s="16" t="inlineStr">
        <is>
          <t>PAEA-CCISM-0448</t>
        </is>
      </c>
      <c r="B449" s="16" t="inlineStr">
        <is>
          <t>657668</t>
        </is>
      </c>
      <c r="C449" s="17" t="inlineStr">
        <is>
          <t>LALLUT PHILIPPE JOSEPH</t>
        </is>
      </c>
      <c r="D449" s="17" t="inlineStr">
        <is>
          <t>PAEA PK 19.100 C/MER 98711 PAEA</t>
        </is>
      </c>
      <c r="E449" s="17" t="inlineStr">
        <is>
          <t>Patenté (Personne Physique)</t>
        </is>
      </c>
      <c r="F449" s="17" t="inlineStr">
        <is>
          <t>Patenté</t>
        </is>
      </c>
      <c r="G449" s="16" t="inlineStr">
        <is>
          <t>1812Z</t>
        </is>
      </c>
      <c r="H449" s="16" t="inlineStr">
        <is>
          <t>M</t>
        </is>
      </c>
      <c r="I449" s="17" t="inlineStr">
        <is>
          <t>Métiers &amp; Artisanat</t>
        </is>
      </c>
      <c r="J449" s="18" t="n">
        <v>0</v>
      </c>
      <c r="K449" s="18" t="n">
        <v>1</v>
      </c>
      <c r="L449" s="17" t="inlineStr">
        <is>
          <t>42943 A</t>
        </is>
      </c>
      <c r="M449" s="17" t="inlineStr">
        <is>
          <t>M LALLUT PHILIPPE JOSEPH</t>
        </is>
      </c>
      <c r="N449" s="17" t="inlineStr">
        <is>
          <t>Chef d entreprise</t>
        </is>
      </c>
      <c r="O449" s="18" t="inlineStr">
        <is>
          <t>10831</t>
        </is>
      </c>
    </row>
    <row r="450" ht="20" customHeight="1">
      <c r="A450" s="13" t="inlineStr">
        <is>
          <t>PAEA-CCISM-0449</t>
        </is>
      </c>
      <c r="B450" s="13" t="inlineStr">
        <is>
          <t>825877</t>
        </is>
      </c>
      <c r="C450" s="14" t="inlineStr">
        <is>
          <t>LANCELLE NATHALIE</t>
        </is>
      </c>
      <c r="D450" s="14" t="inlineStr">
        <is>
          <t>28 RTE DU LOTISSEMENT PAPEHUE LOT 98711 PAEA</t>
        </is>
      </c>
      <c r="E450" s="14" t="inlineStr">
        <is>
          <t>Patenté (Personne Physique)</t>
        </is>
      </c>
      <c r="F450" s="14" t="inlineStr">
        <is>
          <t>Patenté</t>
        </is>
      </c>
      <c r="G450" s="13" t="inlineStr">
        <is>
          <t>3213Z</t>
        </is>
      </c>
      <c r="H450" s="13" t="inlineStr">
        <is>
          <t>M</t>
        </is>
      </c>
      <c r="I450" s="14" t="inlineStr">
        <is>
          <t>Métiers &amp; Artisanat</t>
        </is>
      </c>
      <c r="J450" s="15" t="n">
        <v>0</v>
      </c>
      <c r="K450" s="15" t="n">
        <v>1</v>
      </c>
      <c r="L450" s="14" t="inlineStr">
        <is>
          <t>18 642 A</t>
        </is>
      </c>
      <c r="M450" s="14" t="inlineStr">
        <is>
          <t>Mme LANCELLE NATHALIE</t>
        </is>
      </c>
      <c r="N450" s="14" t="inlineStr">
        <is>
          <t>Chef d entreprise</t>
        </is>
      </c>
      <c r="O450" s="15" t="inlineStr">
        <is>
          <t>10844</t>
        </is>
      </c>
    </row>
    <row r="451" ht="20" customHeight="1">
      <c r="A451" s="16" t="inlineStr">
        <is>
          <t>PAEA-CCISM-0450</t>
        </is>
      </c>
      <c r="B451" s="16" t="inlineStr">
        <is>
          <t>554568</t>
        </is>
      </c>
      <c r="C451" s="17" t="inlineStr">
        <is>
          <t>LANTEIRES REEA REEA</t>
        </is>
      </c>
      <c r="D451" s="17" t="inlineStr">
        <is>
          <t>PAEA PK 19.500 C/MONT 98711 PAEA</t>
        </is>
      </c>
      <c r="E451" s="17" t="inlineStr">
        <is>
          <t>Patenté (Personne Physique)</t>
        </is>
      </c>
      <c r="F451" s="17" t="inlineStr">
        <is>
          <t>Patenté</t>
        </is>
      </c>
      <c r="G451" s="16" t="inlineStr">
        <is>
          <t>4339Z</t>
        </is>
      </c>
      <c r="H451" s="16" t="inlineStr">
        <is>
          <t>M</t>
        </is>
      </c>
      <c r="I451" s="17" t="inlineStr">
        <is>
          <t>Métiers &amp; Artisanat</t>
        </is>
      </c>
      <c r="J451" s="18" t="n">
        <v>0</v>
      </c>
      <c r="K451" s="18" t="n">
        <v>1</v>
      </c>
      <c r="L451" s="17" t="inlineStr">
        <is>
          <t>37229 A</t>
        </is>
      </c>
      <c r="M451" s="17" t="inlineStr">
        <is>
          <t>M LANTEIRES REEA REEA</t>
        </is>
      </c>
      <c r="N451" s="17" t="inlineStr">
        <is>
          <t>Chef d entreprise</t>
        </is>
      </c>
      <c r="O451" s="18" t="inlineStr">
        <is>
          <t>10857</t>
        </is>
      </c>
    </row>
    <row r="452" ht="20" customHeight="1">
      <c r="A452" s="13" t="inlineStr">
        <is>
          <t>PAEA-CCISM-0451</t>
        </is>
      </c>
      <c r="B452" s="13" t="inlineStr">
        <is>
          <t>E27787</t>
        </is>
      </c>
      <c r="C452" s="14" t="inlineStr">
        <is>
          <t>LARGE FABIEN</t>
        </is>
      </c>
      <c r="D452" s="14" t="inlineStr">
        <is>
          <t>RTE DE LA VALLEE PAPEHUE 98711 PAEA</t>
        </is>
      </c>
      <c r="E452" s="14" t="inlineStr">
        <is>
          <t>Patenté (Personne Physique)</t>
        </is>
      </c>
      <c r="F452" s="14" t="inlineStr">
        <is>
          <t>Patenté</t>
        </is>
      </c>
      <c r="G452" s="13" t="inlineStr">
        <is>
          <t>1071C</t>
        </is>
      </c>
      <c r="H452" s="13" t="inlineStr">
        <is>
          <t>M</t>
        </is>
      </c>
      <c r="I452" s="14" t="inlineStr">
        <is>
          <t>Métiers &amp; Artisanat</t>
        </is>
      </c>
      <c r="J452" s="15" t="n">
        <v>0</v>
      </c>
      <c r="K452" s="15" t="n">
        <v>1</v>
      </c>
      <c r="L452" s="14" t="inlineStr">
        <is>
          <t>21 1480 A</t>
        </is>
      </c>
      <c r="M452" s="14" t="inlineStr">
        <is>
          <t>M LARGE FABIEN</t>
        </is>
      </c>
      <c r="N452" s="14" t="inlineStr">
        <is>
          <t>Chef d entreprise</t>
        </is>
      </c>
      <c r="O452" s="15" t="inlineStr">
        <is>
          <t>10866</t>
        </is>
      </c>
    </row>
    <row r="453" ht="20" customHeight="1">
      <c r="A453" s="16" t="inlineStr">
        <is>
          <t>PAEA-CCISM-0452</t>
        </is>
      </c>
      <c r="B453" s="16" t="inlineStr">
        <is>
          <t>952671</t>
        </is>
      </c>
      <c r="C453" s="17" t="inlineStr">
        <is>
          <t>LATAI SIMONE</t>
        </is>
      </c>
      <c r="D453" s="17" t="inlineStr">
        <is>
          <t>PAEA PK 21.5 C/MONT C/STADE - AV. SERV 98711 PAEA</t>
        </is>
      </c>
      <c r="E453" s="17" t="inlineStr">
        <is>
          <t>Patenté (Personne Physique)</t>
        </is>
      </c>
      <c r="F453" s="17" t="inlineStr">
        <is>
          <t>Patenté</t>
        </is>
      </c>
      <c r="G453" s="16" t="inlineStr">
        <is>
          <t>8130Z</t>
        </is>
      </c>
      <c r="H453" s="16" t="inlineStr">
        <is>
          <t>M</t>
        </is>
      </c>
      <c r="I453" s="17" t="inlineStr">
        <is>
          <t>Métiers &amp; Artisanat</t>
        </is>
      </c>
      <c r="J453" s="18" t="n">
        <v>0</v>
      </c>
      <c r="K453" s="18" t="n">
        <v>1</v>
      </c>
      <c r="L453" s="17" t="inlineStr">
        <is>
          <t>10 1130 A</t>
        </is>
      </c>
      <c r="M453" s="17" t="inlineStr">
        <is>
          <t>M LATAI SIMONE</t>
        </is>
      </c>
      <c r="N453" s="17" t="inlineStr">
        <is>
          <t>Chef d entreprise</t>
        </is>
      </c>
      <c r="O453" s="18" t="inlineStr">
        <is>
          <t>10883</t>
        </is>
      </c>
    </row>
    <row r="454" ht="20" customHeight="1">
      <c r="A454" s="13" t="inlineStr">
        <is>
          <t>PAEA-CCISM-0453</t>
        </is>
      </c>
      <c r="B454" s="13" t="inlineStr">
        <is>
          <t>A82799</t>
        </is>
      </c>
      <c r="C454" s="14" t="inlineStr">
        <is>
          <t>LAU AMAN</t>
        </is>
      </c>
      <c r="D454" s="14" t="inlineStr">
        <is>
          <t>98711 PAEA</t>
        </is>
      </c>
      <c r="E454" s="14" t="inlineStr">
        <is>
          <t>Patenté (Personne Physique)</t>
        </is>
      </c>
      <c r="F454" s="14" t="inlineStr">
        <is>
          <t>Patenté</t>
        </is>
      </c>
      <c r="G454" s="13" t="inlineStr">
        <is>
          <t>1330Z</t>
        </is>
      </c>
      <c r="H454" s="13" t="inlineStr">
        <is>
          <t>M</t>
        </is>
      </c>
      <c r="I454" s="14" t="inlineStr">
        <is>
          <t>Métiers &amp; Artisanat</t>
        </is>
      </c>
      <c r="J454" s="15" t="n">
        <v>2</v>
      </c>
      <c r="K454" s="15" t="n">
        <v>1</v>
      </c>
      <c r="L454" s="14" t="inlineStr">
        <is>
          <t>13 1799 A</t>
        </is>
      </c>
      <c r="M454" s="14" t="inlineStr">
        <is>
          <t>M LAU AMAN</t>
        </is>
      </c>
      <c r="N454" s="14" t="inlineStr">
        <is>
          <t>Chef d entreprise</t>
        </is>
      </c>
      <c r="O454" s="15" t="inlineStr">
        <is>
          <t>10886</t>
        </is>
      </c>
    </row>
    <row r="455" ht="20" customHeight="1">
      <c r="A455" s="16" t="inlineStr">
        <is>
          <t>PAEA-CCISM-0454</t>
        </is>
      </c>
      <c r="B455" s="16" t="inlineStr">
        <is>
          <t>857581</t>
        </is>
      </c>
      <c r="C455" s="17" t="inlineStr">
        <is>
          <t>LAU CHRISTOPHE TERAIVETE</t>
        </is>
      </c>
      <c r="D455" s="17" t="inlineStr">
        <is>
          <t>TEHAUPARU N°42 98711 PAEA</t>
        </is>
      </c>
      <c r="E455" s="17" t="inlineStr">
        <is>
          <t>Patenté (Personne Physique)</t>
        </is>
      </c>
      <c r="F455" s="17" t="inlineStr">
        <is>
          <t>Patenté</t>
        </is>
      </c>
      <c r="G455" s="16" t="inlineStr">
        <is>
          <t>1813Z</t>
        </is>
      </c>
      <c r="H455" s="16" t="inlineStr">
        <is>
          <t>M</t>
        </is>
      </c>
      <c r="I455" s="17" t="inlineStr">
        <is>
          <t>Métiers &amp; Artisanat</t>
        </is>
      </c>
      <c r="J455" s="18" t="n">
        <v>0</v>
      </c>
      <c r="K455" s="18" t="n">
        <v>1</v>
      </c>
      <c r="L455" s="17" t="inlineStr">
        <is>
          <t>11 298 A</t>
        </is>
      </c>
      <c r="M455" s="17" t="inlineStr">
        <is>
          <t>M LAU CHRISTOPHE TERAIVETE</t>
        </is>
      </c>
      <c r="N455" s="17" t="inlineStr">
        <is>
          <t>Chef d entreprise</t>
        </is>
      </c>
      <c r="O455" s="18" t="inlineStr">
        <is>
          <t>10887</t>
        </is>
      </c>
    </row>
    <row r="456" ht="20" customHeight="1">
      <c r="A456" s="13" t="inlineStr">
        <is>
          <t>PAEA-CCISM-0455</t>
        </is>
      </c>
      <c r="B456" s="13" t="inlineStr">
        <is>
          <t>A82427</t>
        </is>
      </c>
      <c r="C456" s="14" t="inlineStr">
        <is>
          <t>LE COMPTOIR DES PLANTES POLYNESIENNES</t>
        </is>
      </c>
      <c r="D456" s="14" t="inlineStr">
        <is>
          <t>98711 PAEA</t>
        </is>
      </c>
      <c r="E456" s="14" t="inlineStr">
        <is>
          <t>SARL</t>
        </is>
      </c>
      <c r="F456" s="14" t="inlineStr">
        <is>
          <t>Société</t>
        </is>
      </c>
      <c r="G456" s="13" t="inlineStr">
        <is>
          <t>2120Z</t>
        </is>
      </c>
      <c r="H456" s="13" t="inlineStr">
        <is>
          <t>M</t>
        </is>
      </c>
      <c r="I456" s="14" t="inlineStr">
        <is>
          <t>Métiers &amp; Artisanat</t>
        </is>
      </c>
      <c r="J456" s="15" t="n">
        <v>3</v>
      </c>
      <c r="K456" s="15" t="n">
        <v>1</v>
      </c>
      <c r="L456" s="14" t="inlineStr">
        <is>
          <t>13 229 B</t>
        </is>
      </c>
      <c r="M456" s="14" t="inlineStr">
        <is>
          <t>M MAUNIER PHILIPPE</t>
        </is>
      </c>
      <c r="N456" s="14" t="inlineStr">
        <is>
          <t>Gérant</t>
        </is>
      </c>
      <c r="O456" s="15" t="inlineStr">
        <is>
          <t>10947</t>
        </is>
      </c>
    </row>
    <row r="457" ht="20" customHeight="1">
      <c r="A457" s="16" t="inlineStr">
        <is>
          <t>PAEA-CCISM-0456</t>
        </is>
      </c>
      <c r="B457" s="16" t="inlineStr">
        <is>
          <t>F64606</t>
        </is>
      </c>
      <c r="C457" s="17" t="inlineStr">
        <is>
          <t>LE PASSIONNE</t>
        </is>
      </c>
      <c r="D457" s="17" t="inlineStr">
        <is>
          <t>SERV DAUPHIN 2 98711 PAEA</t>
        </is>
      </c>
      <c r="E457" s="17" t="inlineStr">
        <is>
          <t>SARL Unipersonnelle</t>
        </is>
      </c>
      <c r="F457" s="17" t="inlineStr">
        <is>
          <t>Société</t>
        </is>
      </c>
      <c r="G457" s="16" t="inlineStr">
        <is>
          <t>1071D</t>
        </is>
      </c>
      <c r="H457" s="16" t="inlineStr">
        <is>
          <t>M</t>
        </is>
      </c>
      <c r="I457" s="17" t="inlineStr">
        <is>
          <t>Métiers &amp; Artisanat</t>
        </is>
      </c>
      <c r="J457" s="18" t="n">
        <v>2</v>
      </c>
      <c r="K457" s="18" t="n">
        <v>1</v>
      </c>
      <c r="L457" s="17" t="inlineStr">
        <is>
          <t>23 445 B</t>
        </is>
      </c>
      <c r="M457" s="17" t="inlineStr">
        <is>
          <t>M MALIJENOVSKY THOMAS</t>
        </is>
      </c>
      <c r="N457" s="17" t="inlineStr">
        <is>
          <t>Gérant</t>
        </is>
      </c>
      <c r="O457" s="18" t="inlineStr">
        <is>
          <t>10966</t>
        </is>
      </c>
    </row>
    <row r="458" ht="20" customHeight="1">
      <c r="A458" s="13" t="inlineStr">
        <is>
          <t>PAEA-CCISM-0457</t>
        </is>
      </c>
      <c r="B458" s="13" t="inlineStr">
        <is>
          <t>E79754</t>
        </is>
      </c>
      <c r="C458" s="14" t="inlineStr">
        <is>
          <t>LECOMTE VICTOIRE</t>
        </is>
      </c>
      <c r="D458" s="14" t="inlineStr">
        <is>
          <t>RTE DU LOTISSEMENT PAPEHUE SERVITUDE AVAE C/MONT 98711 PAEA</t>
        </is>
      </c>
      <c r="E458" s="14" t="inlineStr">
        <is>
          <t>Patenté (Personne Physique)</t>
        </is>
      </c>
      <c r="F458" s="14" t="inlineStr">
        <is>
          <t>Patenté</t>
        </is>
      </c>
      <c r="G458" s="13" t="inlineStr">
        <is>
          <t>3299Z</t>
        </is>
      </c>
      <c r="H458" s="13" t="inlineStr">
        <is>
          <t>M</t>
        </is>
      </c>
      <c r="I458" s="14" t="inlineStr">
        <is>
          <t>Métiers &amp; Artisanat</t>
        </is>
      </c>
      <c r="J458" s="15" t="n">
        <v>0</v>
      </c>
      <c r="K458" s="15" t="n">
        <v>1</v>
      </c>
      <c r="L458" s="14" t="inlineStr">
        <is>
          <t>22 1348 A</t>
        </is>
      </c>
      <c r="M458" s="14" t="inlineStr">
        <is>
          <t>Mme LECOMTE VICTOIRE</t>
        </is>
      </c>
      <c r="N458" s="14" t="inlineStr">
        <is>
          <t>Chef d entreprise</t>
        </is>
      </c>
      <c r="O458" s="15" t="inlineStr">
        <is>
          <t>10999</t>
        </is>
      </c>
    </row>
    <row r="459" ht="20" customHeight="1">
      <c r="A459" s="16" t="inlineStr">
        <is>
          <t>PAEA-CCISM-0458</t>
        </is>
      </c>
      <c r="B459" s="16" t="inlineStr">
        <is>
          <t>E13456</t>
        </is>
      </c>
      <c r="C459" s="17" t="inlineStr">
        <is>
          <t>LEE CHIP SAO OLIVIER</t>
        </is>
      </c>
      <c r="D459" s="17" t="inlineStr">
        <is>
          <t>RTE DE LA VALLEE TIAPA PK 20 COTÉ MONTAGNE 98711 PAEA</t>
        </is>
      </c>
      <c r="E459" s="17" t="inlineStr">
        <is>
          <t>Patenté (Personne Physique)</t>
        </is>
      </c>
      <c r="F459" s="17" t="inlineStr">
        <is>
          <t>Patenté</t>
        </is>
      </c>
      <c r="G459" s="16" t="inlineStr">
        <is>
          <t>4339Z</t>
        </is>
      </c>
      <c r="H459" s="16" t="inlineStr">
        <is>
          <t>M</t>
        </is>
      </c>
      <c r="I459" s="17" t="inlineStr">
        <is>
          <t>Métiers &amp; Artisanat</t>
        </is>
      </c>
      <c r="J459" s="18" t="n">
        <v>0</v>
      </c>
      <c r="K459" s="18" t="n">
        <v>1</v>
      </c>
      <c r="L459" s="17" t="inlineStr">
        <is>
          <t>21 482 A</t>
        </is>
      </c>
      <c r="M459" s="17" t="inlineStr">
        <is>
          <t>M LEE CHIP SAO OLIVIER</t>
        </is>
      </c>
      <c r="N459" s="17" t="inlineStr">
        <is>
          <t>Chef d entreprise</t>
        </is>
      </c>
      <c r="O459" s="18" t="inlineStr">
        <is>
          <t>11011</t>
        </is>
      </c>
    </row>
    <row r="460" ht="20" customHeight="1">
      <c r="A460" s="13" t="inlineStr">
        <is>
          <t>PAEA-CCISM-0459</t>
        </is>
      </c>
      <c r="B460" s="13" t="inlineStr">
        <is>
          <t>F53245</t>
        </is>
      </c>
      <c r="C460" s="14" t="inlineStr">
        <is>
          <t>LEFEVRE MARC</t>
        </is>
      </c>
      <c r="D460" s="14" t="inlineStr">
        <is>
          <t>98711 PAEA</t>
        </is>
      </c>
      <c r="E460" s="14" t="inlineStr">
        <is>
          <t>Patenté (Personne Physique)</t>
        </is>
      </c>
      <c r="F460" s="14" t="inlineStr">
        <is>
          <t>Patenté</t>
        </is>
      </c>
      <c r="G460" s="13" t="inlineStr">
        <is>
          <t>4339Z</t>
        </is>
      </c>
      <c r="H460" s="13" t="inlineStr">
        <is>
          <t>M</t>
        </is>
      </c>
      <c r="I460" s="14" t="inlineStr">
        <is>
          <t>Métiers &amp; Artisanat</t>
        </is>
      </c>
      <c r="J460" s="15" t="n">
        <v>0</v>
      </c>
      <c r="K460" s="15" t="n">
        <v>1</v>
      </c>
      <c r="L460" s="14" t="inlineStr">
        <is>
          <t>23 2486 A</t>
        </is>
      </c>
      <c r="M460" s="14" t="inlineStr">
        <is>
          <t>M LEFEVRE MARC</t>
        </is>
      </c>
      <c r="N460" s="14" t="inlineStr">
        <is>
          <t>Chef d entreprise</t>
        </is>
      </c>
      <c r="O460" s="15" t="inlineStr">
        <is>
          <t>11024</t>
        </is>
      </c>
    </row>
    <row r="461" ht="20" customHeight="1">
      <c r="A461" s="16" t="inlineStr">
        <is>
          <t>PAEA-CCISM-0460</t>
        </is>
      </c>
      <c r="B461" s="16" t="inlineStr">
        <is>
          <t>A39062</t>
        </is>
      </c>
      <c r="C461" s="17" t="inlineStr">
        <is>
          <t>LEFEVRE NEE POL SIRAVAN</t>
        </is>
      </c>
      <c r="D461" s="17" t="inlineStr">
        <is>
          <t>98711 PAEA</t>
        </is>
      </c>
      <c r="E461" s="17" t="inlineStr">
        <is>
          <t>Patenté (Personne Physique)</t>
        </is>
      </c>
      <c r="F461" s="17" t="inlineStr">
        <is>
          <t>Patenté</t>
        </is>
      </c>
      <c r="G461" s="16" t="inlineStr">
        <is>
          <t>1085Z</t>
        </is>
      </c>
      <c r="H461" s="16" t="inlineStr">
        <is>
          <t>M</t>
        </is>
      </c>
      <c r="I461" s="17" t="inlineStr">
        <is>
          <t>Métiers &amp; Artisanat</t>
        </is>
      </c>
      <c r="J461" s="18" t="n">
        <v>0</v>
      </c>
      <c r="K461" s="18" t="n">
        <v>1</v>
      </c>
      <c r="L461" s="17" t="inlineStr">
        <is>
          <t>12 1526 A</t>
        </is>
      </c>
      <c r="M461" s="17" t="inlineStr">
        <is>
          <t>Mme LEFEVRE (Née POL) SIRAVAN</t>
        </is>
      </c>
      <c r="N461" s="17" t="inlineStr">
        <is>
          <t>Chef d entreprise</t>
        </is>
      </c>
      <c r="O461" s="18" t="inlineStr">
        <is>
          <t>11025</t>
        </is>
      </c>
    </row>
    <row r="462" ht="20" customHeight="1">
      <c r="A462" s="13" t="inlineStr">
        <is>
          <t>PAEA-CCISM-0461</t>
        </is>
      </c>
      <c r="B462" s="13" t="inlineStr">
        <is>
          <t>872556</t>
        </is>
      </c>
      <c r="C462" s="14" t="inlineStr">
        <is>
          <t>LEHARTEL GASTON, TEVE</t>
        </is>
      </c>
      <c r="D462" s="14" t="inlineStr">
        <is>
          <t>98711 PAEA</t>
        </is>
      </c>
      <c r="E462" s="14" t="inlineStr">
        <is>
          <t>Patenté (Personne Physique)</t>
        </is>
      </c>
      <c r="F462" s="14" t="inlineStr">
        <is>
          <t>Patenté</t>
        </is>
      </c>
      <c r="G462" s="13" t="inlineStr">
        <is>
          <t>4339Z</t>
        </is>
      </c>
      <c r="H462" s="13" t="inlineStr">
        <is>
          <t>M</t>
        </is>
      </c>
      <c r="I462" s="14" t="inlineStr">
        <is>
          <t>Métiers &amp; Artisanat</t>
        </is>
      </c>
      <c r="J462" s="15" t="n">
        <v>0</v>
      </c>
      <c r="K462" s="15" t="n">
        <v>1</v>
      </c>
      <c r="L462" s="14" t="inlineStr">
        <is>
          <t>19 257 A</t>
        </is>
      </c>
      <c r="M462" s="14" t="inlineStr">
        <is>
          <t>M LEHARTEL GASTON, TEVE</t>
        </is>
      </c>
      <c r="N462" s="14" t="inlineStr">
        <is>
          <t>Chef d entreprise</t>
        </is>
      </c>
      <c r="O462" s="15" t="inlineStr">
        <is>
          <t>11032</t>
        </is>
      </c>
    </row>
    <row r="463" ht="20" customHeight="1">
      <c r="A463" s="16" t="inlineStr">
        <is>
          <t>PAEA-CCISM-0462</t>
        </is>
      </c>
      <c r="B463" s="16" t="inlineStr">
        <is>
          <t>503003</t>
        </is>
      </c>
      <c r="C463" s="17" t="inlineStr">
        <is>
          <t>LEI FOC AUGUSTIN</t>
        </is>
      </c>
      <c r="D463" s="17" t="inlineStr">
        <is>
          <t>RTE DE LA VALLEE OROFERO 98711 PAEA</t>
        </is>
      </c>
      <c r="E463" s="17" t="inlineStr">
        <is>
          <t>Patenté (Personne Physique)</t>
        </is>
      </c>
      <c r="F463" s="17" t="inlineStr">
        <is>
          <t>Patenté</t>
        </is>
      </c>
      <c r="G463" s="16" t="inlineStr">
        <is>
          <t>4339Z</t>
        </is>
      </c>
      <c r="H463" s="16" t="inlineStr">
        <is>
          <t>M</t>
        </is>
      </c>
      <c r="I463" s="17" t="inlineStr">
        <is>
          <t>Métiers &amp; Artisanat</t>
        </is>
      </c>
      <c r="J463" s="18" t="n">
        <v>1</v>
      </c>
      <c r="K463" s="18" t="n">
        <v>1</v>
      </c>
      <c r="L463" s="17" t="inlineStr">
        <is>
          <t>18 419 A</t>
        </is>
      </c>
      <c r="M463" s="17" t="inlineStr">
        <is>
          <t>M LEI FOC AUGUSTIN</t>
        </is>
      </c>
      <c r="N463" s="17" t="inlineStr">
        <is>
          <t>Chef d entreprise</t>
        </is>
      </c>
      <c r="O463" s="18" t="inlineStr">
        <is>
          <t>11040</t>
        </is>
      </c>
    </row>
    <row r="464" ht="20" customHeight="1">
      <c r="A464" s="13" t="inlineStr">
        <is>
          <t>PAEA-CCISM-0463</t>
        </is>
      </c>
      <c r="B464" s="13" t="inlineStr">
        <is>
          <t>C43003</t>
        </is>
      </c>
      <c r="C464" s="14" t="inlineStr">
        <is>
          <t>LEROUX DAMIEN CYRILLE</t>
        </is>
      </c>
      <c r="D464" s="14" t="inlineStr">
        <is>
          <t>98711 PAEA</t>
        </is>
      </c>
      <c r="E464" s="14" t="inlineStr">
        <is>
          <t>Patenté (Personne Physique)</t>
        </is>
      </c>
      <c r="F464" s="14" t="inlineStr">
        <is>
          <t>Patenté</t>
        </is>
      </c>
      <c r="G464" s="13" t="inlineStr">
        <is>
          <t>4520A</t>
        </is>
      </c>
      <c r="H464" s="13" t="inlineStr">
        <is>
          <t>M</t>
        </is>
      </c>
      <c r="I464" s="14" t="inlineStr">
        <is>
          <t>Métiers &amp; Artisanat</t>
        </is>
      </c>
      <c r="J464" s="15" t="n">
        <v>0</v>
      </c>
      <c r="K464" s="15" t="n">
        <v>1</v>
      </c>
      <c r="L464" s="14" t="inlineStr">
        <is>
          <t>17 1587 A</t>
        </is>
      </c>
      <c r="M464" s="14" t="inlineStr">
        <is>
          <t>M LEROUX DAMIEN CYRILLE</t>
        </is>
      </c>
      <c r="N464" s="14" t="inlineStr">
        <is>
          <t>Chef d entreprise</t>
        </is>
      </c>
      <c r="O464" s="15" t="inlineStr">
        <is>
          <t>11100</t>
        </is>
      </c>
    </row>
    <row r="465" ht="20" customHeight="1">
      <c r="A465" s="16" t="inlineStr">
        <is>
          <t>PAEA-CCISM-0464</t>
        </is>
      </c>
      <c r="B465" s="16" t="inlineStr">
        <is>
          <t>433995</t>
        </is>
      </c>
      <c r="C465" s="17" t="inlineStr">
        <is>
          <t>LIGTHART SYLVIANE</t>
        </is>
      </c>
      <c r="D465" s="17" t="inlineStr">
        <is>
          <t>N°203 PROPRIETE GUILD PARC LOT 1 98711 PAEA</t>
        </is>
      </c>
      <c r="E465" s="17" t="inlineStr">
        <is>
          <t>Patenté (Personne Physique)</t>
        </is>
      </c>
      <c r="F465" s="17" t="inlineStr">
        <is>
          <t>Patenté</t>
        </is>
      </c>
      <c r="G465" s="16" t="inlineStr">
        <is>
          <t>8121Z</t>
        </is>
      </c>
      <c r="H465" s="16" t="inlineStr">
        <is>
          <t>M</t>
        </is>
      </c>
      <c r="I465" s="17" t="inlineStr">
        <is>
          <t>Métiers &amp; Artisanat</t>
        </is>
      </c>
      <c r="J465" s="18" t="n">
        <v>0</v>
      </c>
      <c r="K465" s="18" t="n">
        <v>1</v>
      </c>
      <c r="L465" s="17" t="inlineStr">
        <is>
          <t>23 1741 A</t>
        </is>
      </c>
      <c r="M465" s="17" t="inlineStr">
        <is>
          <t>Mme LIGTHART SYLVIANE</t>
        </is>
      </c>
      <c r="N465" s="17" t="inlineStr">
        <is>
          <t>Chef d entreprise</t>
        </is>
      </c>
      <c r="O465" s="18" t="inlineStr">
        <is>
          <t>11167</t>
        </is>
      </c>
    </row>
    <row r="466" ht="20" customHeight="1">
      <c r="A466" s="13" t="inlineStr">
        <is>
          <t>PAEA-CCISM-0465</t>
        </is>
      </c>
      <c r="B466" s="13" t="inlineStr">
        <is>
          <t>520049</t>
        </is>
      </c>
      <c r="C466" s="14" t="inlineStr">
        <is>
          <t>LILLOUX ALEXANDRE</t>
        </is>
      </c>
      <c r="D466" s="14" t="inlineStr">
        <is>
          <t>PAEA PK 22.950 C/MONT - SERV TEIRI 98711 PAEA</t>
        </is>
      </c>
      <c r="E466" s="14" t="inlineStr">
        <is>
          <t>Patenté (Personne Physique)</t>
        </is>
      </c>
      <c r="F466" s="14" t="inlineStr">
        <is>
          <t>Patenté</t>
        </is>
      </c>
      <c r="G466" s="13" t="inlineStr">
        <is>
          <t>4520A</t>
        </is>
      </c>
      <c r="H466" s="13" t="inlineStr">
        <is>
          <t>M</t>
        </is>
      </c>
      <c r="I466" s="14" t="inlineStr">
        <is>
          <t>Métiers &amp; Artisanat</t>
        </is>
      </c>
      <c r="J466" s="15" t="n">
        <v>0</v>
      </c>
      <c r="K466" s="15" t="n">
        <v>1</v>
      </c>
      <c r="L466" s="14" t="inlineStr">
        <is>
          <t>11 143 A</t>
        </is>
      </c>
      <c r="M466" s="14" t="inlineStr">
        <is>
          <t>M LILLOUX ALEXANDRE</t>
        </is>
      </c>
      <c r="N466" s="14" t="inlineStr">
        <is>
          <t>Chef d entreprise</t>
        </is>
      </c>
      <c r="O466" s="15" t="inlineStr">
        <is>
          <t>11176</t>
        </is>
      </c>
    </row>
    <row r="467" ht="20" customHeight="1">
      <c r="A467" s="16" t="inlineStr">
        <is>
          <t>PAEA-CCISM-0466</t>
        </is>
      </c>
      <c r="B467" s="16" t="inlineStr">
        <is>
          <t>554907</t>
        </is>
      </c>
      <c r="C467" s="17" t="inlineStr">
        <is>
          <t>LILLOUX ALEXIS</t>
        </is>
      </c>
      <c r="D467" s="17" t="inlineStr">
        <is>
          <t>QUARTIER LENOIR 98711 PAEA</t>
        </is>
      </c>
      <c r="E467" s="17" t="inlineStr">
        <is>
          <t>Patenté (Personne Physique)</t>
        </is>
      </c>
      <c r="F467" s="17" t="inlineStr">
        <is>
          <t>Patenté</t>
        </is>
      </c>
      <c r="G467" s="16" t="inlineStr">
        <is>
          <t>4520A</t>
        </is>
      </c>
      <c r="H467" s="16" t="inlineStr">
        <is>
          <t>M</t>
        </is>
      </c>
      <c r="I467" s="17" t="inlineStr">
        <is>
          <t>Métiers &amp; Artisanat</t>
        </is>
      </c>
      <c r="J467" s="18" t="n">
        <v>0</v>
      </c>
      <c r="K467" s="18" t="n">
        <v>1</v>
      </c>
      <c r="L467" s="17" t="inlineStr">
        <is>
          <t>23 251 A</t>
        </is>
      </c>
      <c r="M467" s="17" t="inlineStr">
        <is>
          <t>M LILLOUX ALEXIS</t>
        </is>
      </c>
      <c r="N467" s="17" t="inlineStr">
        <is>
          <t>Chef d entreprise</t>
        </is>
      </c>
      <c r="O467" s="18" t="inlineStr">
        <is>
          <t>11177</t>
        </is>
      </c>
    </row>
    <row r="468" ht="20" customHeight="1">
      <c r="A468" s="13" t="inlineStr">
        <is>
          <t>PAEA-CCISM-0467</t>
        </is>
      </c>
      <c r="B468" s="13" t="inlineStr">
        <is>
          <t>A03100</t>
        </is>
      </c>
      <c r="C468" s="14" t="inlineStr">
        <is>
          <t>LILLOUX ANTHONY</t>
        </is>
      </c>
      <c r="D468" s="14" t="inlineStr">
        <is>
          <t>PAEA PK 24 C/MONT - LENOIR 98711 PAEA</t>
        </is>
      </c>
      <c r="E468" s="14" t="inlineStr">
        <is>
          <t>Patenté (Personne Physique)</t>
        </is>
      </c>
      <c r="F468" s="14" t="inlineStr">
        <is>
          <t>Patenté</t>
        </is>
      </c>
      <c r="G468" s="13" t="inlineStr">
        <is>
          <t>4520A</t>
        </is>
      </c>
      <c r="H468" s="13" t="inlineStr">
        <is>
          <t>M</t>
        </is>
      </c>
      <c r="I468" s="14" t="inlineStr">
        <is>
          <t>Métiers &amp; Artisanat</t>
        </is>
      </c>
      <c r="J468" s="15" t="n">
        <v>0</v>
      </c>
      <c r="K468" s="15" t="n">
        <v>1</v>
      </c>
      <c r="L468" s="14" t="inlineStr">
        <is>
          <t>11 1722 A</t>
        </is>
      </c>
      <c r="M468" s="14" t="inlineStr">
        <is>
          <t>M LILLOUX ANTHONY</t>
        </is>
      </c>
      <c r="N468" s="14" t="inlineStr">
        <is>
          <t>Chef d entreprise</t>
        </is>
      </c>
      <c r="O468" s="15" t="inlineStr">
        <is>
          <t>11178</t>
        </is>
      </c>
    </row>
    <row r="469" ht="20" customHeight="1">
      <c r="A469" s="16" t="inlineStr">
        <is>
          <t>PAEA-CCISM-0468</t>
        </is>
      </c>
      <c r="B469" s="16" t="inlineStr">
        <is>
          <t>621961</t>
        </is>
      </c>
      <c r="C469" s="17" t="inlineStr">
        <is>
          <t>LOPES DA SILVA ANTONIO MANUEL</t>
        </is>
      </c>
      <c r="D469" s="17" t="inlineStr">
        <is>
          <t>PAEA PK 19.100 C/MONT - BUNGALOW N° 4 98711 PAEA</t>
        </is>
      </c>
      <c r="E469" s="17" t="inlineStr">
        <is>
          <t>Patenté (Personne Physique)</t>
        </is>
      </c>
      <c r="F469" s="17" t="inlineStr">
        <is>
          <t>Patenté</t>
        </is>
      </c>
      <c r="G469" s="16" t="inlineStr">
        <is>
          <t>4322A</t>
        </is>
      </c>
      <c r="H469" s="16" t="inlineStr">
        <is>
          <t>M</t>
        </is>
      </c>
      <c r="I469" s="17" t="inlineStr">
        <is>
          <t>Métiers &amp; Artisanat</t>
        </is>
      </c>
      <c r="J469" s="18" t="n">
        <v>0</v>
      </c>
      <c r="K469" s="18" t="n">
        <v>1</v>
      </c>
      <c r="L469" s="17" t="inlineStr">
        <is>
          <t>40682 A</t>
        </is>
      </c>
      <c r="M469" s="17" t="inlineStr">
        <is>
          <t>M LOPES DA SILVA ANTONIO MANUEL</t>
        </is>
      </c>
      <c r="N469" s="17" t="inlineStr">
        <is>
          <t>Chef d entreprise</t>
        </is>
      </c>
      <c r="O469" s="18" t="inlineStr">
        <is>
          <t>11240</t>
        </is>
      </c>
    </row>
    <row r="470" ht="20" customHeight="1">
      <c r="A470" s="13" t="inlineStr">
        <is>
          <t>PAEA-CCISM-0469</t>
        </is>
      </c>
      <c r="B470" s="13" t="inlineStr">
        <is>
          <t>E85595</t>
        </is>
      </c>
      <c r="C470" s="14" t="inlineStr">
        <is>
          <t>LUBIN NEE DE SA MÉLINDA</t>
        </is>
      </c>
      <c r="D470" s="14" t="inlineStr">
        <is>
          <t>QTR GRAUX SVT ATIVAVAU 1 N°12 98711 PAEA</t>
        </is>
      </c>
      <c r="E470" s="14" t="inlineStr">
        <is>
          <t>Patenté (Personne Physique)</t>
        </is>
      </c>
      <c r="F470" s="14" t="inlineStr">
        <is>
          <t>Patenté</t>
        </is>
      </c>
      <c r="G470" s="13" t="inlineStr">
        <is>
          <t>1413Z</t>
        </is>
      </c>
      <c r="H470" s="13" t="inlineStr">
        <is>
          <t>M</t>
        </is>
      </c>
      <c r="I470" s="14" t="inlineStr">
        <is>
          <t>Métiers &amp; Artisanat</t>
        </is>
      </c>
      <c r="J470" s="15" t="n">
        <v>0</v>
      </c>
      <c r="K470" s="15" t="n">
        <v>1</v>
      </c>
      <c r="L470" s="14" t="inlineStr">
        <is>
          <t>22 1754 A</t>
        </is>
      </c>
      <c r="M470" s="14" t="inlineStr">
        <is>
          <t>Mme LUBIN (Née DE SA) MÉLINDA</t>
        </is>
      </c>
      <c r="N470" s="14" t="inlineStr">
        <is>
          <t>Chef d entreprise</t>
        </is>
      </c>
      <c r="O470" s="15" t="inlineStr">
        <is>
          <t>11280</t>
        </is>
      </c>
    </row>
    <row r="471" ht="20" customHeight="1">
      <c r="A471" s="16" t="inlineStr">
        <is>
          <t>PAEA-CCISM-0470</t>
        </is>
      </c>
      <c r="B471" s="16" t="inlineStr">
        <is>
          <t>B02399</t>
        </is>
      </c>
      <c r="C471" s="17" t="inlineStr">
        <is>
          <t>LUNMAK WILLY</t>
        </is>
      </c>
      <c r="D471" s="17" t="inlineStr">
        <is>
          <t>LOT VAIPUARII N°07 98711 PAEA</t>
        </is>
      </c>
      <c r="E471" s="17" t="inlineStr">
        <is>
          <t>Patenté (Personne Physique)</t>
        </is>
      </c>
      <c r="F471" s="17" t="inlineStr">
        <is>
          <t>Patenté</t>
        </is>
      </c>
      <c r="G471" s="16" t="inlineStr">
        <is>
          <t>4333Z</t>
        </is>
      </c>
      <c r="H471" s="16" t="inlineStr">
        <is>
          <t>M</t>
        </is>
      </c>
      <c r="I471" s="17" t="inlineStr">
        <is>
          <t>Métiers &amp; Artisanat</t>
        </is>
      </c>
      <c r="J471" s="18" t="n">
        <v>0</v>
      </c>
      <c r="K471" s="18" t="n">
        <v>1</v>
      </c>
      <c r="L471" s="17" t="inlineStr">
        <is>
          <t>19 1613 A</t>
        </is>
      </c>
      <c r="M471" s="17" t="inlineStr">
        <is>
          <t>M LUNMAK WILLY</t>
        </is>
      </c>
      <c r="N471" s="17" t="inlineStr">
        <is>
          <t>Chef d entreprise</t>
        </is>
      </c>
      <c r="O471" s="18" t="inlineStr">
        <is>
          <t>11306</t>
        </is>
      </c>
    </row>
    <row r="472" ht="20" customHeight="1">
      <c r="A472" s="13" t="inlineStr">
        <is>
          <t>PAEA-CCISM-0471</t>
        </is>
      </c>
      <c r="B472" s="13" t="inlineStr">
        <is>
          <t>090548</t>
        </is>
      </c>
      <c r="C472" s="14" t="inlineStr">
        <is>
          <t>LY FELIX</t>
        </is>
      </c>
      <c r="D472" s="14" t="inlineStr">
        <is>
          <t>98711 PAEA</t>
        </is>
      </c>
      <c r="E472" s="14" t="inlineStr">
        <is>
          <t>Patenté (Personne Physique)</t>
        </is>
      </c>
      <c r="F472" s="14" t="inlineStr">
        <is>
          <t>Patenté</t>
        </is>
      </c>
      <c r="G472" s="13" t="inlineStr">
        <is>
          <t>4120B</t>
        </is>
      </c>
      <c r="H472" s="13" t="inlineStr">
        <is>
          <t>M</t>
        </is>
      </c>
      <c r="I472" s="14" t="inlineStr">
        <is>
          <t>Métiers &amp; Artisanat</t>
        </is>
      </c>
      <c r="J472" s="15" t="n">
        <v>3</v>
      </c>
      <c r="K472" s="15" t="n">
        <v>1</v>
      </c>
      <c r="L472" s="14" t="inlineStr">
        <is>
          <t>11255 A</t>
        </is>
      </c>
      <c r="M472" s="14" t="inlineStr">
        <is>
          <t>M LY FELIX</t>
        </is>
      </c>
      <c r="N472" s="14" t="inlineStr">
        <is>
          <t>Chef d entreprise</t>
        </is>
      </c>
      <c r="O472" s="15" t="inlineStr">
        <is>
          <t>11316</t>
        </is>
      </c>
    </row>
    <row r="473" ht="20" customHeight="1">
      <c r="A473" s="16" t="inlineStr">
        <is>
          <t>PAEA-CCISM-0472</t>
        </is>
      </c>
      <c r="B473" s="16" t="inlineStr">
        <is>
          <t>D10877</t>
        </is>
      </c>
      <c r="C473" s="17" t="inlineStr">
        <is>
          <t>LY NEE FAANA LAINA</t>
        </is>
      </c>
      <c r="D473" s="17" t="inlineStr">
        <is>
          <t>98711 PAEA</t>
        </is>
      </c>
      <c r="E473" s="17" t="inlineStr">
        <is>
          <t>Patenté (Personne Physique)</t>
        </is>
      </c>
      <c r="F473" s="17" t="inlineStr">
        <is>
          <t>Patenté</t>
        </is>
      </c>
      <c r="G473" s="16" t="inlineStr">
        <is>
          <t>8690A</t>
        </is>
      </c>
      <c r="H473" s="16" t="inlineStr">
        <is>
          <t>M</t>
        </is>
      </c>
      <c r="I473" s="17" t="inlineStr">
        <is>
          <t>Métiers &amp; Artisanat</t>
        </is>
      </c>
      <c r="J473" s="18" t="n">
        <v>0</v>
      </c>
      <c r="K473" s="18" t="n">
        <v>1</v>
      </c>
      <c r="L473" s="17" t="inlineStr">
        <is>
          <t>19 131 A</t>
        </is>
      </c>
      <c r="M473" s="17" t="inlineStr">
        <is>
          <t>Mme LY (Née FAANA) LAINA</t>
        </is>
      </c>
      <c r="N473" s="17" t="inlineStr">
        <is>
          <t>Chef d entreprise</t>
        </is>
      </c>
      <c r="O473" s="18" t="inlineStr">
        <is>
          <t>11327</t>
        </is>
      </c>
    </row>
    <row r="474" ht="20" customHeight="1">
      <c r="A474" s="13" t="inlineStr">
        <is>
          <t>PAEA-CCISM-0473</t>
        </is>
      </c>
      <c r="B474" s="13" t="inlineStr">
        <is>
          <t>177949</t>
        </is>
      </c>
      <c r="C474" s="14" t="inlineStr">
        <is>
          <t>LY PAUL TEEHU</t>
        </is>
      </c>
      <c r="D474" s="14" t="inlineStr">
        <is>
          <t>PAEA PK 24,5 C/MONT 98711 PAEA</t>
        </is>
      </c>
      <c r="E474" s="14" t="inlineStr">
        <is>
          <t>Patenté (Personne Physique)</t>
        </is>
      </c>
      <c r="F474" s="14" t="inlineStr">
        <is>
          <t>Patenté</t>
        </is>
      </c>
      <c r="G474" s="13" t="inlineStr">
        <is>
          <t>4339Z</t>
        </is>
      </c>
      <c r="H474" s="13" t="inlineStr">
        <is>
          <t>M</t>
        </is>
      </c>
      <c r="I474" s="14" t="inlineStr">
        <is>
          <t>Métiers &amp; Artisanat</t>
        </is>
      </c>
      <c r="J474" s="15" t="n">
        <v>0</v>
      </c>
      <c r="K474" s="15" t="n">
        <v>1</v>
      </c>
      <c r="L474" s="14" t="inlineStr">
        <is>
          <t>16261 A</t>
        </is>
      </c>
      <c r="M474" s="14" t="inlineStr">
        <is>
          <t>M LY PAUL TEEHU</t>
        </is>
      </c>
      <c r="N474" s="14" t="inlineStr">
        <is>
          <t>Chef d entreprise</t>
        </is>
      </c>
      <c r="O474" s="15" t="inlineStr">
        <is>
          <t>11332</t>
        </is>
      </c>
    </row>
    <row r="475" ht="20" customHeight="1">
      <c r="A475" s="16" t="inlineStr">
        <is>
          <t>PAEA-CCISM-0474</t>
        </is>
      </c>
      <c r="B475" s="16" t="inlineStr">
        <is>
          <t>G11472</t>
        </is>
      </c>
      <c r="C475" s="17" t="inlineStr">
        <is>
          <t>LY-FOUEIK MARUAI</t>
        </is>
      </c>
      <c r="D475" s="17" t="inlineStr">
        <is>
          <t>LOGT 23 LOTISSEMENT TE PUHAPA 98711 PAEA</t>
        </is>
      </c>
      <c r="E475" s="17" t="inlineStr">
        <is>
          <t>Patenté (Personne Physique)</t>
        </is>
      </c>
      <c r="F475" s="17" t="inlineStr">
        <is>
          <t>Patenté</t>
        </is>
      </c>
      <c r="G475" s="16" t="inlineStr">
        <is>
          <t>1413Z</t>
        </is>
      </c>
      <c r="H475" s="16" t="inlineStr">
        <is>
          <t>M</t>
        </is>
      </c>
      <c r="I475" s="17" t="inlineStr">
        <is>
          <t>Métiers &amp; Artisanat</t>
        </is>
      </c>
      <c r="J475" s="18" t="n">
        <v>0</v>
      </c>
      <c r="K475" s="18" t="n">
        <v>1</v>
      </c>
      <c r="L475" s="17" t="inlineStr">
        <is>
          <t>25 363 A</t>
        </is>
      </c>
      <c r="M475" s="17" t="inlineStr">
        <is>
          <t>Mme LY-FOUEIK MARUAI</t>
        </is>
      </c>
      <c r="N475" s="17" t="inlineStr">
        <is>
          <t>Chef d entreprise</t>
        </is>
      </c>
      <c r="O475" s="18" t="inlineStr">
        <is>
          <t>11356</t>
        </is>
      </c>
    </row>
    <row r="476" ht="20" customHeight="1">
      <c r="A476" s="13" t="inlineStr">
        <is>
          <t>PAEA-CCISM-0475</t>
        </is>
      </c>
      <c r="B476" s="13" t="inlineStr">
        <is>
          <t>963157</t>
        </is>
      </c>
      <c r="C476" s="14" t="inlineStr">
        <is>
          <t>MAAMAATUAIAHUTAPU HIROHITI</t>
        </is>
      </c>
      <c r="D476" s="14" t="inlineStr">
        <is>
          <t>RTE SERVITUDE CADOUSTEAU 98711 PAEA</t>
        </is>
      </c>
      <c r="E476" s="14" t="inlineStr">
        <is>
          <t>Patenté (Personne Physique)</t>
        </is>
      </c>
      <c r="F476" s="14" t="inlineStr">
        <is>
          <t>Patenté</t>
        </is>
      </c>
      <c r="G476" s="13" t="inlineStr">
        <is>
          <t>4520A</t>
        </is>
      </c>
      <c r="H476" s="13" t="inlineStr">
        <is>
          <t>M</t>
        </is>
      </c>
      <c r="I476" s="14" t="inlineStr">
        <is>
          <t>Métiers &amp; Artisanat</t>
        </is>
      </c>
      <c r="J476" s="15" t="n">
        <v>0</v>
      </c>
      <c r="K476" s="15" t="n">
        <v>1</v>
      </c>
      <c r="L476" s="14" t="inlineStr">
        <is>
          <t>22 2669 A</t>
        </is>
      </c>
      <c r="M476" s="14" t="inlineStr">
        <is>
          <t>M MAAMAATUAIAHUTAPU HIROHITI</t>
        </is>
      </c>
      <c r="N476" s="14" t="inlineStr">
        <is>
          <t>Chef d entreprise</t>
        </is>
      </c>
      <c r="O476" s="15" t="inlineStr">
        <is>
          <t>11370</t>
        </is>
      </c>
    </row>
    <row r="477" ht="20" customHeight="1">
      <c r="A477" s="16" t="inlineStr">
        <is>
          <t>PAEA-CCISM-0476</t>
        </is>
      </c>
      <c r="B477" s="16" t="inlineStr">
        <is>
          <t>D15058</t>
        </is>
      </c>
      <c r="C477" s="17" t="inlineStr">
        <is>
          <t>MACKEN FRANK</t>
        </is>
      </c>
      <c r="D477" s="17" t="inlineStr">
        <is>
          <t>RTE SERVITUDE CADOUSTEAU 98711 PAEA</t>
        </is>
      </c>
      <c r="E477" s="17" t="inlineStr">
        <is>
          <t>Patenté (Personne Physique)</t>
        </is>
      </c>
      <c r="F477" s="17" t="inlineStr">
        <is>
          <t>Patenté</t>
        </is>
      </c>
      <c r="G477" s="16" t="inlineStr">
        <is>
          <t>7430Z</t>
        </is>
      </c>
      <c r="H477" s="16" t="inlineStr">
        <is>
          <t>M</t>
        </is>
      </c>
      <c r="I477" s="17" t="inlineStr">
        <is>
          <t>Métiers &amp; Artisanat</t>
        </is>
      </c>
      <c r="J477" s="18" t="n">
        <v>0</v>
      </c>
      <c r="K477" s="18" t="n">
        <v>1</v>
      </c>
      <c r="L477" s="17" t="inlineStr">
        <is>
          <t>19 403 A</t>
        </is>
      </c>
      <c r="M477" s="17" t="inlineStr">
        <is>
          <t>M MACKEN FRANK</t>
        </is>
      </c>
      <c r="N477" s="17" t="inlineStr">
        <is>
          <t>Chef d entreprise</t>
        </is>
      </c>
      <c r="O477" s="18" t="inlineStr">
        <is>
          <t>11375</t>
        </is>
      </c>
    </row>
    <row r="478" ht="20" customHeight="1">
      <c r="A478" s="13" t="inlineStr">
        <is>
          <t>PAEA-CCISM-0477</t>
        </is>
      </c>
      <c r="B478" s="13" t="inlineStr">
        <is>
          <t>E30385</t>
        </is>
      </c>
      <c r="C478" s="14" t="inlineStr">
        <is>
          <t>MAERE HENRI</t>
        </is>
      </c>
      <c r="D478" s="14" t="inlineStr">
        <is>
          <t>QUARTIER VAIATU PK 21.500 C/MONT 98711 PAEA</t>
        </is>
      </c>
      <c r="E478" s="14" t="inlineStr">
        <is>
          <t>Patenté (Personne Physique)</t>
        </is>
      </c>
      <c r="F478" s="14" t="inlineStr">
        <is>
          <t>Patenté</t>
        </is>
      </c>
      <c r="G478" s="13" t="inlineStr">
        <is>
          <t>4339Z</t>
        </is>
      </c>
      <c r="H478" s="13" t="inlineStr">
        <is>
          <t>M</t>
        </is>
      </c>
      <c r="I478" s="14" t="inlineStr">
        <is>
          <t>Métiers &amp; Artisanat</t>
        </is>
      </c>
      <c r="J478" s="15" t="n">
        <v>0</v>
      </c>
      <c r="K478" s="15" t="n">
        <v>1</v>
      </c>
      <c r="L478" s="14" t="inlineStr">
        <is>
          <t>21 1605 A</t>
        </is>
      </c>
      <c r="M478" s="14" t="inlineStr">
        <is>
          <t>M MAERE HENRI</t>
        </is>
      </c>
      <c r="N478" s="14" t="inlineStr">
        <is>
          <t>Chef d entreprise</t>
        </is>
      </c>
      <c r="O478" s="15" t="inlineStr">
        <is>
          <t>11388</t>
        </is>
      </c>
    </row>
    <row r="479" ht="20" customHeight="1">
      <c r="A479" s="16" t="inlineStr">
        <is>
          <t>PAEA-CCISM-0478</t>
        </is>
      </c>
      <c r="B479" s="16" t="inlineStr">
        <is>
          <t>F94728</t>
        </is>
      </c>
      <c r="C479" s="17" t="inlineStr">
        <is>
          <t>MAGRON WILLIAM</t>
        </is>
      </c>
      <c r="D479" s="17" t="inlineStr">
        <is>
          <t>98711 PAEA</t>
        </is>
      </c>
      <c r="E479" s="17" t="inlineStr">
        <is>
          <t>Patenté (Personne Physique)</t>
        </is>
      </c>
      <c r="F479" s="17" t="inlineStr">
        <is>
          <t>Patenté</t>
        </is>
      </c>
      <c r="G479" s="16" t="inlineStr">
        <is>
          <t>4339Z</t>
        </is>
      </c>
      <c r="H479" s="16" t="inlineStr">
        <is>
          <t>M</t>
        </is>
      </c>
      <c r="I479" s="17" t="inlineStr">
        <is>
          <t>Métiers &amp; Artisanat</t>
        </is>
      </c>
      <c r="J479" s="18" t="n">
        <v>0</v>
      </c>
      <c r="K479" s="18" t="n">
        <v>1</v>
      </c>
      <c r="L479" s="17" t="inlineStr">
        <is>
          <t>24 1894 A</t>
        </is>
      </c>
      <c r="M479" s="17" t="inlineStr">
        <is>
          <t>M MAGRON WILLIAM</t>
        </is>
      </c>
      <c r="N479" s="17" t="inlineStr">
        <is>
          <t>Chef d entreprise</t>
        </is>
      </c>
      <c r="O479" s="18" t="inlineStr">
        <is>
          <t>11409</t>
        </is>
      </c>
    </row>
    <row r="480" ht="20" customHeight="1">
      <c r="A480" s="13" t="inlineStr">
        <is>
          <t>PAEA-CCISM-0479</t>
        </is>
      </c>
      <c r="B480" s="13" t="inlineStr">
        <is>
          <t>D25099</t>
        </is>
      </c>
      <c r="C480" s="14" t="inlineStr">
        <is>
          <t>MAHATIA JEAN-PAUL TAFI</t>
        </is>
      </c>
      <c r="D480" s="14" t="inlineStr">
        <is>
          <t>RTE DE LA VALLEE OROFERO 98711 PAEA</t>
        </is>
      </c>
      <c r="E480" s="14" t="inlineStr">
        <is>
          <t>Patenté (Personne Physique)</t>
        </is>
      </c>
      <c r="F480" s="14" t="inlineStr">
        <is>
          <t>Patenté</t>
        </is>
      </c>
      <c r="G480" s="13" t="inlineStr">
        <is>
          <t>4322A</t>
        </is>
      </c>
      <c r="H480" s="13" t="inlineStr">
        <is>
          <t>M</t>
        </is>
      </c>
      <c r="I480" s="14" t="inlineStr">
        <is>
          <t>Métiers &amp; Artisanat</t>
        </is>
      </c>
      <c r="J480" s="15" t="n">
        <v>0</v>
      </c>
      <c r="K480" s="15" t="n">
        <v>1</v>
      </c>
      <c r="L480" s="14" t="inlineStr">
        <is>
          <t>19 1182 A</t>
        </is>
      </c>
      <c r="M480" s="14" t="inlineStr">
        <is>
          <t>M MAHATIA JEAN-PAUL TAFI</t>
        </is>
      </c>
      <c r="N480" s="14" t="inlineStr">
        <is>
          <t>Chef d entreprise</t>
        </is>
      </c>
      <c r="O480" s="15" t="inlineStr">
        <is>
          <t>11434</t>
        </is>
      </c>
    </row>
    <row r="481" ht="20" customHeight="1">
      <c r="A481" s="16" t="inlineStr">
        <is>
          <t>PAEA-CCISM-0480</t>
        </is>
      </c>
      <c r="B481" s="16" t="inlineStr">
        <is>
          <t>G05748</t>
        </is>
      </c>
      <c r="C481" s="17" t="inlineStr">
        <is>
          <t>MAHATIA JOHN</t>
        </is>
      </c>
      <c r="D481" s="17" t="inlineStr">
        <is>
          <t>12 SERVITUDE TAPUTUARAI 98711 PAEA</t>
        </is>
      </c>
      <c r="E481" s="17" t="inlineStr">
        <is>
          <t>Patenté (Personne Physique)</t>
        </is>
      </c>
      <c r="F481" s="17" t="inlineStr">
        <is>
          <t>Patenté</t>
        </is>
      </c>
      <c r="G481" s="16" t="inlineStr">
        <is>
          <t>4312A</t>
        </is>
      </c>
      <c r="H481" s="16" t="inlineStr">
        <is>
          <t>M</t>
        </is>
      </c>
      <c r="I481" s="17" t="inlineStr">
        <is>
          <t>Métiers &amp; Artisanat</t>
        </is>
      </c>
      <c r="J481" s="18" t="n">
        <v>0</v>
      </c>
      <c r="K481" s="18" t="n">
        <v>1</v>
      </c>
      <c r="L481" s="17" t="inlineStr">
        <is>
          <t>25 25 A</t>
        </is>
      </c>
      <c r="M481" s="17" t="inlineStr">
        <is>
          <t>M MAHATIA JOHN</t>
        </is>
      </c>
      <c r="N481" s="17" t="inlineStr">
        <is>
          <t>Chef d entreprise</t>
        </is>
      </c>
      <c r="O481" s="18" t="inlineStr">
        <is>
          <t>11435</t>
        </is>
      </c>
    </row>
    <row r="482" ht="20" customHeight="1">
      <c r="A482" s="13" t="inlineStr">
        <is>
          <t>PAEA-CCISM-0481</t>
        </is>
      </c>
      <c r="B482" s="13" t="inlineStr">
        <is>
          <t>F90312</t>
        </is>
      </c>
      <c r="C482" s="14" t="inlineStr">
        <is>
          <t>MAHUTA TINIARII</t>
        </is>
      </c>
      <c r="D482" s="14" t="inlineStr">
        <is>
          <t>PK 24.500 C/MONT QUARTIER TEFANA 98711 PAEA</t>
        </is>
      </c>
      <c r="E482" s="14" t="inlineStr">
        <is>
          <t>Patenté (Personne Physique)</t>
        </is>
      </c>
      <c r="F482" s="14" t="inlineStr">
        <is>
          <t>Patenté</t>
        </is>
      </c>
      <c r="G482" s="13" t="inlineStr">
        <is>
          <t>3220Z</t>
        </is>
      </c>
      <c r="H482" s="13" t="inlineStr">
        <is>
          <t>M</t>
        </is>
      </c>
      <c r="I482" s="14" t="inlineStr">
        <is>
          <t>Métiers &amp; Artisanat</t>
        </is>
      </c>
      <c r="J482" s="15" t="n">
        <v>0</v>
      </c>
      <c r="K482" s="15" t="n">
        <v>1</v>
      </c>
      <c r="L482" s="14" t="inlineStr">
        <is>
          <t>24 2364 A</t>
        </is>
      </c>
      <c r="M482" s="14" t="inlineStr">
        <is>
          <t>M MAHUTA TINIARII</t>
        </is>
      </c>
      <c r="N482" s="14" t="inlineStr">
        <is>
          <t>Chef d entreprise</t>
        </is>
      </c>
      <c r="O482" s="15" t="inlineStr">
        <is>
          <t>11458</t>
        </is>
      </c>
    </row>
    <row r="483" ht="20" customHeight="1">
      <c r="A483" s="16" t="inlineStr">
        <is>
          <t>PAEA-CCISM-0482</t>
        </is>
      </c>
      <c r="B483" s="16" t="inlineStr">
        <is>
          <t>C75179</t>
        </is>
      </c>
      <c r="C483" s="17" t="inlineStr">
        <is>
          <t>MAHUTA VANESSA</t>
        </is>
      </c>
      <c r="D483" s="17" t="inlineStr">
        <is>
          <t>LOT SEIGNEUR N° 37 98711 PAEA</t>
        </is>
      </c>
      <c r="E483" s="17" t="inlineStr">
        <is>
          <t>Patenté (Personne Physique)</t>
        </is>
      </c>
      <c r="F483" s="17" t="inlineStr">
        <is>
          <t>Patenté</t>
        </is>
      </c>
      <c r="G483" s="16" t="inlineStr">
        <is>
          <t>9602B</t>
        </is>
      </c>
      <c r="H483" s="16" t="inlineStr">
        <is>
          <t>M</t>
        </is>
      </c>
      <c r="I483" s="17" t="inlineStr">
        <is>
          <t>Métiers &amp; Artisanat</t>
        </is>
      </c>
      <c r="J483" s="18" t="n">
        <v>0</v>
      </c>
      <c r="K483" s="18" t="n">
        <v>1</v>
      </c>
      <c r="L483" s="17" t="inlineStr">
        <is>
          <t>23 3053 A</t>
        </is>
      </c>
      <c r="M483" s="17" t="inlineStr">
        <is>
          <t>Mme MAHUTA VANESSA</t>
        </is>
      </c>
      <c r="N483" s="17" t="inlineStr">
        <is>
          <t>Chef d entreprise</t>
        </is>
      </c>
      <c r="O483" s="18" t="inlineStr">
        <is>
          <t>11459</t>
        </is>
      </c>
    </row>
    <row r="484" ht="20" customHeight="1">
      <c r="A484" s="13" t="inlineStr">
        <is>
          <t>PAEA-CCISM-0483</t>
        </is>
      </c>
      <c r="B484" s="13" t="inlineStr">
        <is>
          <t>A39773</t>
        </is>
      </c>
      <c r="C484" s="14" t="inlineStr">
        <is>
          <t>MAHUTATUA ANNICK, TAINA</t>
        </is>
      </c>
      <c r="D484" s="14" t="inlineStr">
        <is>
          <t>FACE MAISON TE MITI 98711 PAEA</t>
        </is>
      </c>
      <c r="E484" s="14" t="inlineStr">
        <is>
          <t>Patenté (Personne Physique)</t>
        </is>
      </c>
      <c r="F484" s="14" t="inlineStr">
        <is>
          <t>Patenté</t>
        </is>
      </c>
      <c r="G484" s="13" t="inlineStr">
        <is>
          <t>4520A</t>
        </is>
      </c>
      <c r="H484" s="13" t="inlineStr">
        <is>
          <t>M</t>
        </is>
      </c>
      <c r="I484" s="14" t="inlineStr">
        <is>
          <t>Métiers &amp; Artisanat</t>
        </is>
      </c>
      <c r="J484" s="15" t="n">
        <v>0</v>
      </c>
      <c r="K484" s="15" t="n">
        <v>1</v>
      </c>
      <c r="L484" s="14" t="inlineStr">
        <is>
          <t>21 1948 A</t>
        </is>
      </c>
      <c r="M484" s="14" t="inlineStr">
        <is>
          <t>Mme MAHUTATUA ANNICK, TAINA</t>
        </is>
      </c>
      <c r="N484" s="14" t="inlineStr">
        <is>
          <t>Chef d entreprise</t>
        </is>
      </c>
      <c r="O484" s="15" t="inlineStr">
        <is>
          <t>11460</t>
        </is>
      </c>
    </row>
    <row r="485" ht="20" customHeight="1">
      <c r="A485" s="16" t="inlineStr">
        <is>
          <t>PAEA-CCISM-0484</t>
        </is>
      </c>
      <c r="B485" s="16" t="inlineStr">
        <is>
          <t>891481</t>
        </is>
      </c>
      <c r="C485" s="17" t="inlineStr">
        <is>
          <t>MAI NEE PIFAO AMELIE VAIATA</t>
        </is>
      </c>
      <c r="D485" s="17" t="inlineStr">
        <is>
          <t>PAEA PK 19.5 C/MONT - LOTISSEMENT SEIG 98711 PAEA</t>
        </is>
      </c>
      <c r="E485" s="17" t="inlineStr">
        <is>
          <t>Patenté (Personne Physique)</t>
        </is>
      </c>
      <c r="F485" s="17" t="inlineStr">
        <is>
          <t>Patenté</t>
        </is>
      </c>
      <c r="G485" s="16" t="inlineStr">
        <is>
          <t>1413Z</t>
        </is>
      </c>
      <c r="H485" s="16" t="inlineStr">
        <is>
          <t>M</t>
        </is>
      </c>
      <c r="I485" s="17" t="inlineStr">
        <is>
          <t>Métiers &amp; Artisanat</t>
        </is>
      </c>
      <c r="J485" s="18" t="n">
        <v>0</v>
      </c>
      <c r="K485" s="18" t="n">
        <v>1</v>
      </c>
      <c r="L485" s="17" t="inlineStr">
        <is>
          <t>09 68 A</t>
        </is>
      </c>
      <c r="M485" s="17" t="inlineStr">
        <is>
          <t>Mme MAI (Née PIFAO) AMELIE VAIATA</t>
        </is>
      </c>
      <c r="N485" s="17" t="inlineStr">
        <is>
          <t>Chef d entreprise</t>
        </is>
      </c>
      <c r="O485" s="18" t="inlineStr">
        <is>
          <t>11481</t>
        </is>
      </c>
    </row>
    <row r="486" ht="20" customHeight="1">
      <c r="A486" s="13" t="inlineStr">
        <is>
          <t>PAEA-CCISM-0485</t>
        </is>
      </c>
      <c r="B486" s="13" t="inlineStr">
        <is>
          <t>415794</t>
        </is>
      </c>
      <c r="C486" s="14" t="inlineStr">
        <is>
          <t>MAIFANO NEE TAEA IOTANETA</t>
        </is>
      </c>
      <c r="D486" s="14" t="inlineStr">
        <is>
          <t>RTE LOTISSEMENT TEPUHAPA PK 20.500 C/MONT LOT N°3 98711 PAEA</t>
        </is>
      </c>
      <c r="E486" s="14" t="inlineStr">
        <is>
          <t>Patenté (Personne Physique)</t>
        </is>
      </c>
      <c r="F486" s="14" t="inlineStr">
        <is>
          <t>Patenté</t>
        </is>
      </c>
      <c r="G486" s="13" t="inlineStr">
        <is>
          <t>3299Z</t>
        </is>
      </c>
      <c r="H486" s="13" t="inlineStr">
        <is>
          <t>M</t>
        </is>
      </c>
      <c r="I486" s="14" t="inlineStr">
        <is>
          <t>Métiers &amp; Artisanat</t>
        </is>
      </c>
      <c r="J486" s="15" t="n">
        <v>0</v>
      </c>
      <c r="K486" s="15" t="n">
        <v>1</v>
      </c>
      <c r="L486" s="14" t="inlineStr">
        <is>
          <t>22 2835 A</t>
        </is>
      </c>
      <c r="M486" s="14" t="inlineStr">
        <is>
          <t>Mme MAIFANO (Née TAEA) IOTANETA</t>
        </is>
      </c>
      <c r="N486" s="14" t="inlineStr">
        <is>
          <t>Chef d entreprise</t>
        </is>
      </c>
      <c r="O486" s="15" t="inlineStr">
        <is>
          <t>11500</t>
        </is>
      </c>
    </row>
    <row r="487" ht="20" customHeight="1">
      <c r="A487" s="16" t="inlineStr">
        <is>
          <t>PAEA-CCISM-0486</t>
        </is>
      </c>
      <c r="B487" s="16" t="inlineStr">
        <is>
          <t>G09518</t>
        </is>
      </c>
      <c r="C487" s="17" t="inlineStr">
        <is>
          <t>MAIHI NEE ARUTAHI ODETTE</t>
        </is>
      </c>
      <c r="D487" s="17" t="inlineStr">
        <is>
          <t>98711 PAEA</t>
        </is>
      </c>
      <c r="E487" s="17" t="inlineStr">
        <is>
          <t>Patenté (Personne Physique)</t>
        </is>
      </c>
      <c r="F487" s="17" t="inlineStr">
        <is>
          <t>Patenté</t>
        </is>
      </c>
      <c r="G487" s="16" t="inlineStr">
        <is>
          <t>3299Z</t>
        </is>
      </c>
      <c r="H487" s="16" t="inlineStr">
        <is>
          <t>M</t>
        </is>
      </c>
      <c r="I487" s="17" t="inlineStr">
        <is>
          <t>Métiers &amp; Artisanat</t>
        </is>
      </c>
      <c r="J487" s="18" t="n">
        <v>0</v>
      </c>
      <c r="K487" s="18" t="n">
        <v>1</v>
      </c>
      <c r="L487" s="17" t="inlineStr">
        <is>
          <t>25 255 A</t>
        </is>
      </c>
      <c r="M487" s="17" t="inlineStr">
        <is>
          <t>Mme MAIHI (Née ARUTAHI) ODETTE</t>
        </is>
      </c>
      <c r="N487" s="17" t="inlineStr">
        <is>
          <t>Chef d entreprise</t>
        </is>
      </c>
      <c r="O487" s="18" t="inlineStr">
        <is>
          <t>11509</t>
        </is>
      </c>
    </row>
    <row r="488" ht="20" customHeight="1">
      <c r="A488" s="13" t="inlineStr">
        <is>
          <t>PAEA-CCISM-0487</t>
        </is>
      </c>
      <c r="B488" s="13" t="inlineStr">
        <is>
          <t>D97015</t>
        </is>
      </c>
      <c r="C488" s="14" t="inlineStr">
        <is>
          <t>MAIHITI KUMIA MARTINA</t>
        </is>
      </c>
      <c r="D488" s="14" t="inlineStr">
        <is>
          <t>QUARTIER TOUSSIEUX 98711 PAEA</t>
        </is>
      </c>
      <c r="E488" s="14" t="inlineStr">
        <is>
          <t>Patenté (Personne Physique)</t>
        </is>
      </c>
      <c r="F488" s="14" t="inlineStr">
        <is>
          <t>Patenté</t>
        </is>
      </c>
      <c r="G488" s="13" t="inlineStr">
        <is>
          <t>8130Z</t>
        </is>
      </c>
      <c r="H488" s="13" t="inlineStr">
        <is>
          <t>M</t>
        </is>
      </c>
      <c r="I488" s="14" t="inlineStr">
        <is>
          <t>Métiers &amp; Artisanat</t>
        </is>
      </c>
      <c r="J488" s="15" t="n">
        <v>0</v>
      </c>
      <c r="K488" s="15" t="n">
        <v>1</v>
      </c>
      <c r="L488" s="14" t="inlineStr">
        <is>
          <t>20 2447 A</t>
        </is>
      </c>
      <c r="M488" s="14" t="inlineStr">
        <is>
          <t>Mme MAIHITI KUMIA MARTINA</t>
        </is>
      </c>
      <c r="N488" s="14" t="inlineStr">
        <is>
          <t>Chef d entreprise</t>
        </is>
      </c>
      <c r="O488" s="15" t="inlineStr">
        <is>
          <t>11515</t>
        </is>
      </c>
    </row>
    <row r="489" ht="20" customHeight="1">
      <c r="A489" s="16" t="inlineStr">
        <is>
          <t>PAEA-CCISM-0488</t>
        </is>
      </c>
      <c r="B489" s="16" t="inlineStr">
        <is>
          <t>D36740</t>
        </is>
      </c>
      <c r="C489" s="17" t="inlineStr">
        <is>
          <t>MAINTENANCE ET TRAVAUX RESEAU ELECTRIQUE</t>
        </is>
      </c>
      <c r="D489" s="17" t="inlineStr">
        <is>
          <t>RTE DE LA VALLEE OROFERO 98711 PAEA</t>
        </is>
      </c>
      <c r="E489" s="17" t="inlineStr">
        <is>
          <t>SARL</t>
        </is>
      </c>
      <c r="F489" s="17" t="inlineStr">
        <is>
          <t>Société</t>
        </is>
      </c>
      <c r="G489" s="16" t="inlineStr">
        <is>
          <t>4321A</t>
        </is>
      </c>
      <c r="H489" s="16" t="inlineStr">
        <is>
          <t>M</t>
        </is>
      </c>
      <c r="I489" s="17" t="inlineStr">
        <is>
          <t>Métiers &amp; Artisanat</t>
        </is>
      </c>
      <c r="J489" s="18" t="n">
        <v>3</v>
      </c>
      <c r="K489" s="18" t="n">
        <v>1</v>
      </c>
      <c r="L489" s="17" t="inlineStr">
        <is>
          <t>19 272 B</t>
        </is>
      </c>
      <c r="M489" s="17" t="inlineStr">
        <is>
          <t>M FLORES TEHONO TEVAEARAIA</t>
        </is>
      </c>
      <c r="N489" s="17" t="inlineStr">
        <is>
          <t>Autre</t>
        </is>
      </c>
      <c r="O489" s="18" t="inlineStr">
        <is>
          <t>11539</t>
        </is>
      </c>
    </row>
    <row r="490" ht="20" customHeight="1">
      <c r="A490" s="13" t="inlineStr">
        <is>
          <t>PAEA-CCISM-0489</t>
        </is>
      </c>
      <c r="B490" s="13" t="inlineStr">
        <is>
          <t>915835</t>
        </is>
      </c>
      <c r="C490" s="14" t="inlineStr">
        <is>
          <t>MAIRAU PATRICK PANAPA</t>
        </is>
      </c>
      <c r="D490" s="14" t="inlineStr">
        <is>
          <t>RTE DE LA VALLEE TIAPA 98711 PAEA</t>
        </is>
      </c>
      <c r="E490" s="14" t="inlineStr">
        <is>
          <t>Patenté (Personne Physique)</t>
        </is>
      </c>
      <c r="F490" s="14" t="inlineStr">
        <is>
          <t>Patenté</t>
        </is>
      </c>
      <c r="G490" s="13" t="inlineStr">
        <is>
          <t>8130Z</t>
        </is>
      </c>
      <c r="H490" s="13" t="inlineStr">
        <is>
          <t>M</t>
        </is>
      </c>
      <c r="I490" s="14" t="inlineStr">
        <is>
          <t>Métiers &amp; Artisanat</t>
        </is>
      </c>
      <c r="J490" s="15" t="n">
        <v>0</v>
      </c>
      <c r="K490" s="15" t="n">
        <v>1</v>
      </c>
      <c r="L490" s="14" t="inlineStr">
        <is>
          <t>17 941 A</t>
        </is>
      </c>
      <c r="M490" s="14" t="inlineStr">
        <is>
          <t>M MAIRAU PATRICK PANAPA</t>
        </is>
      </c>
      <c r="N490" s="14" t="inlineStr">
        <is>
          <t>Chef d entreprise</t>
        </is>
      </c>
      <c r="O490" s="15" t="inlineStr">
        <is>
          <t>11548</t>
        </is>
      </c>
    </row>
    <row r="491" ht="20" customHeight="1">
      <c r="A491" s="16" t="inlineStr">
        <is>
          <t>PAEA-CCISM-0490</t>
        </is>
      </c>
      <c r="B491" s="16" t="inlineStr">
        <is>
          <t>427385</t>
        </is>
      </c>
      <c r="C491" s="17" t="inlineStr">
        <is>
          <t>MAIRE THIBAUT</t>
        </is>
      </c>
      <c r="D491" s="17" t="inlineStr">
        <is>
          <t>APT 5 RTE DE LA RESIDENCE FARE MITI 98711 PAEA</t>
        </is>
      </c>
      <c r="E491" s="17" t="inlineStr">
        <is>
          <t>Patenté (Personne Physique)</t>
        </is>
      </c>
      <c r="F491" s="17" t="inlineStr">
        <is>
          <t>Patenté</t>
        </is>
      </c>
      <c r="G491" s="16" t="inlineStr">
        <is>
          <t>3315Z</t>
        </is>
      </c>
      <c r="H491" s="16" t="inlineStr">
        <is>
          <t>M</t>
        </is>
      </c>
      <c r="I491" s="17" t="inlineStr">
        <is>
          <t>Métiers &amp; Artisanat</t>
        </is>
      </c>
      <c r="J491" s="18" t="n">
        <v>0</v>
      </c>
      <c r="K491" s="18" t="n">
        <v>1</v>
      </c>
      <c r="L491" s="17" t="inlineStr">
        <is>
          <t>23 1235 A</t>
        </is>
      </c>
      <c r="M491" s="17" t="inlineStr">
        <is>
          <t>M MAIRE THIBAUT</t>
        </is>
      </c>
      <c r="N491" s="17" t="inlineStr">
        <is>
          <t>Chef d entreprise</t>
        </is>
      </c>
      <c r="O491" s="18" t="inlineStr">
        <is>
          <t>11554</t>
        </is>
      </c>
    </row>
    <row r="492" ht="20" customHeight="1">
      <c r="A492" s="13" t="inlineStr">
        <is>
          <t>PAEA-CCISM-0491</t>
        </is>
      </c>
      <c r="B492" s="13" t="inlineStr">
        <is>
          <t>D42201</t>
        </is>
      </c>
      <c r="C492" s="14" t="inlineStr">
        <is>
          <t>MAITUI LAHAINA HITIRERE</t>
        </is>
      </c>
      <c r="D492" s="14" t="inlineStr">
        <is>
          <t>QUARTIER ROBSON 98711 PAEA</t>
        </is>
      </c>
      <c r="E492" s="14" t="inlineStr">
        <is>
          <t>Patenté (Personne Physique)</t>
        </is>
      </c>
      <c r="F492" s="14" t="inlineStr">
        <is>
          <t>Patenté</t>
        </is>
      </c>
      <c r="G492" s="13" t="inlineStr">
        <is>
          <t>8121Z</t>
        </is>
      </c>
      <c r="H492" s="13" t="inlineStr">
        <is>
          <t>M</t>
        </is>
      </c>
      <c r="I492" s="14" t="inlineStr">
        <is>
          <t>Métiers &amp; Artisanat</t>
        </is>
      </c>
      <c r="J492" s="15" t="n">
        <v>0</v>
      </c>
      <c r="K492" s="15" t="n">
        <v>1</v>
      </c>
      <c r="L492" s="14" t="inlineStr">
        <is>
          <t>19 2453 A</t>
        </is>
      </c>
      <c r="M492" s="14" t="inlineStr">
        <is>
          <t>Mme MAITUI LAHAINA HITIRERE</t>
        </is>
      </c>
      <c r="N492" s="14" t="inlineStr">
        <is>
          <t>Chef d entreprise</t>
        </is>
      </c>
      <c r="O492" s="15" t="inlineStr">
        <is>
          <t>11578</t>
        </is>
      </c>
    </row>
    <row r="493" ht="20" customHeight="1">
      <c r="A493" s="16" t="inlineStr">
        <is>
          <t>PAEA-CCISM-0492</t>
        </is>
      </c>
      <c r="B493" s="16" t="inlineStr">
        <is>
          <t>E93409</t>
        </is>
      </c>
      <c r="C493" s="17" t="inlineStr">
        <is>
          <t>MAITUI YANS</t>
        </is>
      </c>
      <c r="D493" s="17" t="inlineStr">
        <is>
          <t>98711 PAEA</t>
        </is>
      </c>
      <c r="E493" s="17" t="inlineStr">
        <is>
          <t>Patenté (Personne Physique)</t>
        </is>
      </c>
      <c r="F493" s="17" t="inlineStr">
        <is>
          <t>Patenté</t>
        </is>
      </c>
      <c r="G493" s="16" t="inlineStr">
        <is>
          <t>8130Z</t>
        </is>
      </c>
      <c r="H493" s="16" t="inlineStr">
        <is>
          <t>M</t>
        </is>
      </c>
      <c r="I493" s="17" t="inlineStr">
        <is>
          <t>Métiers &amp; Artisanat</t>
        </is>
      </c>
      <c r="J493" s="18" t="n">
        <v>0</v>
      </c>
      <c r="K493" s="18" t="n">
        <v>1</v>
      </c>
      <c r="L493" s="17" t="inlineStr">
        <is>
          <t>22 2291 A</t>
        </is>
      </c>
      <c r="M493" s="17" t="inlineStr">
        <is>
          <t>M MAITUI YANS</t>
        </is>
      </c>
      <c r="N493" s="17" t="inlineStr">
        <is>
          <t>Chef d entreprise</t>
        </is>
      </c>
      <c r="O493" s="18" t="inlineStr">
        <is>
          <t>11580</t>
        </is>
      </c>
    </row>
    <row r="494" ht="20" customHeight="1">
      <c r="A494" s="13" t="inlineStr">
        <is>
          <t>PAEA-CCISM-0493</t>
        </is>
      </c>
      <c r="B494" s="13" t="inlineStr">
        <is>
          <t>F05005</t>
        </is>
      </c>
      <c r="C494" s="14" t="inlineStr">
        <is>
          <t>MAMATUI NEE TEHUIOTOA TEHINA</t>
        </is>
      </c>
      <c r="D494" s="14" t="inlineStr">
        <is>
          <t>98711 PAEA</t>
        </is>
      </c>
      <c r="E494" s="14" t="inlineStr">
        <is>
          <t>Patenté (Personne Physique)</t>
        </is>
      </c>
      <c r="F494" s="14" t="inlineStr">
        <is>
          <t>Patenté</t>
        </is>
      </c>
      <c r="G494" s="13" t="inlineStr">
        <is>
          <t>3212Z</t>
        </is>
      </c>
      <c r="H494" s="13" t="inlineStr">
        <is>
          <t>M</t>
        </is>
      </c>
      <c r="I494" s="14" t="inlineStr">
        <is>
          <t>Métiers &amp; Artisanat</t>
        </is>
      </c>
      <c r="J494" s="15" t="n">
        <v>0</v>
      </c>
      <c r="K494" s="15" t="n">
        <v>1</v>
      </c>
      <c r="L494" s="14" t="inlineStr">
        <is>
          <t>22 3104 A</t>
        </is>
      </c>
      <c r="M494" s="14" t="inlineStr">
        <is>
          <t>Mme MAMATUI (Née TEHUIOTOA) TEHINA</t>
        </is>
      </c>
      <c r="N494" s="14" t="inlineStr">
        <is>
          <t>Chef d entreprise</t>
        </is>
      </c>
      <c r="O494" s="15" t="inlineStr">
        <is>
          <t>11624</t>
        </is>
      </c>
    </row>
    <row r="495" ht="20" customHeight="1">
      <c r="A495" s="16" t="inlineStr">
        <is>
          <t>PAEA-CCISM-0494</t>
        </is>
      </c>
      <c r="B495" s="16" t="inlineStr">
        <is>
          <t>C86564</t>
        </is>
      </c>
      <c r="C495" s="17" t="inlineStr">
        <is>
          <t>MAMATUI THERESE KAHENTA</t>
        </is>
      </c>
      <c r="D495" s="17" t="inlineStr">
        <is>
          <t>98711 PAEA</t>
        </is>
      </c>
      <c r="E495" s="17" t="inlineStr">
        <is>
          <t>Patenté (Personne Physique)</t>
        </is>
      </c>
      <c r="F495" s="17" t="inlineStr">
        <is>
          <t>Patenté</t>
        </is>
      </c>
      <c r="G495" s="16" t="inlineStr">
        <is>
          <t>8121Z</t>
        </is>
      </c>
      <c r="H495" s="16" t="inlineStr">
        <is>
          <t>M</t>
        </is>
      </c>
      <c r="I495" s="17" t="inlineStr">
        <is>
          <t>Métiers &amp; Artisanat</t>
        </is>
      </c>
      <c r="J495" s="18" t="n">
        <v>0</v>
      </c>
      <c r="K495" s="18" t="n">
        <v>1</v>
      </c>
      <c r="L495" s="17" t="inlineStr">
        <is>
          <t>18 1520 A</t>
        </is>
      </c>
      <c r="M495" s="17" t="inlineStr">
        <is>
          <t>Mme MAMATUI THERESE KAHENTA</t>
        </is>
      </c>
      <c r="N495" s="17" t="inlineStr">
        <is>
          <t>Chef d entreprise</t>
        </is>
      </c>
      <c r="O495" s="18" t="inlineStr">
        <is>
          <t>11626</t>
        </is>
      </c>
    </row>
    <row r="496" ht="20" customHeight="1">
      <c r="A496" s="13" t="inlineStr">
        <is>
          <t>PAEA-CCISM-0495</t>
        </is>
      </c>
      <c r="B496" s="13" t="inlineStr">
        <is>
          <t>714139</t>
        </is>
      </c>
      <c r="C496" s="14" t="inlineStr">
        <is>
          <t>MAMBLONA RUBEN</t>
        </is>
      </c>
      <c r="D496" s="14" t="inlineStr">
        <is>
          <t>PAEA PK 19.600 C/MONT 98711 PAEA</t>
        </is>
      </c>
      <c r="E496" s="14" t="inlineStr">
        <is>
          <t>Patenté (Personne Physique)</t>
        </is>
      </c>
      <c r="F496" s="14" t="inlineStr">
        <is>
          <t>Patenté</t>
        </is>
      </c>
      <c r="G496" s="13" t="inlineStr">
        <is>
          <t>4321A</t>
        </is>
      </c>
      <c r="H496" s="13" t="inlineStr">
        <is>
          <t>M</t>
        </is>
      </c>
      <c r="I496" s="14" t="inlineStr">
        <is>
          <t>Métiers &amp; Artisanat</t>
        </is>
      </c>
      <c r="J496" s="15" t="n">
        <v>0</v>
      </c>
      <c r="K496" s="15" t="n">
        <v>1</v>
      </c>
      <c r="L496" s="14" t="inlineStr">
        <is>
          <t>04 336 A</t>
        </is>
      </c>
      <c r="M496" s="14" t="inlineStr">
        <is>
          <t>M MAMBLONA RUBEN</t>
        </is>
      </c>
      <c r="N496" s="14" t="inlineStr">
        <is>
          <t>Chef d entreprise</t>
        </is>
      </c>
      <c r="O496" s="15" t="inlineStr">
        <is>
          <t>11627</t>
        </is>
      </c>
    </row>
    <row r="497" ht="20" customHeight="1">
      <c r="A497" s="16" t="inlineStr">
        <is>
          <t>PAEA-CCISM-0496</t>
        </is>
      </c>
      <c r="B497" s="16" t="inlineStr">
        <is>
          <t>A54830</t>
        </is>
      </c>
      <c r="C497" s="17" t="inlineStr">
        <is>
          <t>MANA HUBERT</t>
        </is>
      </c>
      <c r="D497" s="17" t="inlineStr">
        <is>
          <t>PK 21,400 PAEA C/MONT - AVANT FARE AMU BP 10608 98711 PAEA</t>
        </is>
      </c>
      <c r="E497" s="17" t="inlineStr">
        <is>
          <t>Patenté (Personne Physique)</t>
        </is>
      </c>
      <c r="F497" s="17" t="inlineStr">
        <is>
          <t>Patenté</t>
        </is>
      </c>
      <c r="G497" s="16" t="inlineStr">
        <is>
          <t>4339Z</t>
        </is>
      </c>
      <c r="H497" s="16" t="inlineStr">
        <is>
          <t>M</t>
        </is>
      </c>
      <c r="I497" s="17" t="inlineStr">
        <is>
          <t>Métiers &amp; Artisanat</t>
        </is>
      </c>
      <c r="J497" s="18" t="n">
        <v>0</v>
      </c>
      <c r="K497" s="18" t="n">
        <v>1</v>
      </c>
      <c r="L497" s="17" t="inlineStr">
        <is>
          <t>13 101 A</t>
        </is>
      </c>
      <c r="M497" s="17" t="inlineStr">
        <is>
          <t>M MANA HUBERT</t>
        </is>
      </c>
      <c r="N497" s="17" t="inlineStr">
        <is>
          <t>Chef d entreprise</t>
        </is>
      </c>
      <c r="O497" s="18" t="inlineStr">
        <is>
          <t>11632</t>
        </is>
      </c>
    </row>
    <row r="498" ht="20" customHeight="1">
      <c r="A498" s="13" t="inlineStr">
        <is>
          <t>PAEA-CCISM-0497</t>
        </is>
      </c>
      <c r="B498" s="13" t="inlineStr">
        <is>
          <t>C69610</t>
        </is>
      </c>
      <c r="C498" s="14" t="inlineStr">
        <is>
          <t>MANATE NORBERT NOOTU</t>
        </is>
      </c>
      <c r="D498" s="14" t="inlineStr">
        <is>
          <t>LOTISSEMENT CPS TIAPA-LOT 47 98711 PAEA</t>
        </is>
      </c>
      <c r="E498" s="14" t="inlineStr">
        <is>
          <t>Patenté (Personne Physique)</t>
        </is>
      </c>
      <c r="F498" s="14" t="inlineStr">
        <is>
          <t>Patenté</t>
        </is>
      </c>
      <c r="G498" s="13" t="inlineStr">
        <is>
          <t>4339Z</t>
        </is>
      </c>
      <c r="H498" s="13" t="inlineStr">
        <is>
          <t>M</t>
        </is>
      </c>
      <c r="I498" s="14" t="inlineStr">
        <is>
          <t>Métiers &amp; Artisanat</t>
        </is>
      </c>
      <c r="J498" s="15" t="n">
        <v>0</v>
      </c>
      <c r="K498" s="15" t="n">
        <v>1</v>
      </c>
      <c r="L498" s="14" t="inlineStr">
        <is>
          <t>18 398 A</t>
        </is>
      </c>
      <c r="M498" s="14" t="inlineStr">
        <is>
          <t>M MANATE NORBERT NOOTU</t>
        </is>
      </c>
      <c r="N498" s="14" t="inlineStr">
        <is>
          <t>Chef d entreprise</t>
        </is>
      </c>
      <c r="O498" s="15" t="inlineStr">
        <is>
          <t>11661</t>
        </is>
      </c>
    </row>
    <row r="499" ht="20" customHeight="1">
      <c r="A499" s="16" t="inlineStr">
        <is>
          <t>PAEA-CCISM-0498</t>
        </is>
      </c>
      <c r="B499" s="16" t="inlineStr">
        <is>
          <t>151324</t>
        </is>
      </c>
      <c r="C499" s="17" t="inlineStr">
        <is>
          <t>MANEA BEN</t>
        </is>
      </c>
      <c r="D499" s="17" t="inlineStr">
        <is>
          <t>QTIER VAITIARE MARAA 98711 PAEA</t>
        </is>
      </c>
      <c r="E499" s="17" t="inlineStr">
        <is>
          <t>Patenté (Personne Physique)</t>
        </is>
      </c>
      <c r="F499" s="17" t="inlineStr">
        <is>
          <t>Patenté</t>
        </is>
      </c>
      <c r="G499" s="16" t="inlineStr">
        <is>
          <t>4321A</t>
        </is>
      </c>
      <c r="H499" s="16" t="inlineStr">
        <is>
          <t>M</t>
        </is>
      </c>
      <c r="I499" s="17" t="inlineStr">
        <is>
          <t>Métiers &amp; Artisanat</t>
        </is>
      </c>
      <c r="J499" s="18" t="n">
        <v>0</v>
      </c>
      <c r="K499" s="18" t="n">
        <v>1</v>
      </c>
      <c r="L499" s="17" t="inlineStr">
        <is>
          <t>22 2795 A</t>
        </is>
      </c>
      <c r="M499" s="17" t="inlineStr">
        <is>
          <t>M MANEA BEN</t>
        </is>
      </c>
      <c r="N499" s="17" t="inlineStr">
        <is>
          <t>Chef d entreprise</t>
        </is>
      </c>
      <c r="O499" s="18" t="inlineStr">
        <is>
          <t>11671</t>
        </is>
      </c>
    </row>
    <row r="500" ht="20" customHeight="1">
      <c r="A500" s="13" t="inlineStr">
        <is>
          <t>PAEA-CCISM-0499</t>
        </is>
      </c>
      <c r="B500" s="13" t="inlineStr">
        <is>
          <t>G19467</t>
        </is>
      </c>
      <c r="C500" s="14" t="inlineStr">
        <is>
          <t>MANEA BYRON</t>
        </is>
      </c>
      <c r="D500" s="14" t="inlineStr">
        <is>
          <t>DERR. CIMETIERE APRES SALLE OMNISPORT 98711 PAEA</t>
        </is>
      </c>
      <c r="E500" s="14" t="inlineStr">
        <is>
          <t>Patenté (Personne Physique)</t>
        </is>
      </c>
      <c r="F500" s="14" t="inlineStr">
        <is>
          <t>Patenté</t>
        </is>
      </c>
      <c r="G500" s="13" t="inlineStr">
        <is>
          <t>8130Z</t>
        </is>
      </c>
      <c r="H500" s="13" t="inlineStr">
        <is>
          <t>M</t>
        </is>
      </c>
      <c r="I500" s="14" t="inlineStr">
        <is>
          <t>Métiers &amp; Artisanat</t>
        </is>
      </c>
      <c r="J500" s="15" t="n">
        <v>0</v>
      </c>
      <c r="K500" s="15" t="n">
        <v>1</v>
      </c>
      <c r="L500" s="14" t="inlineStr">
        <is>
          <t>25 930 A</t>
        </is>
      </c>
      <c r="M500" s="14" t="inlineStr">
        <is>
          <t>M MANEA BYRON</t>
        </is>
      </c>
      <c r="N500" s="14" t="inlineStr">
        <is>
          <t>Chef d entreprise</t>
        </is>
      </c>
      <c r="O500" s="15" t="inlineStr">
        <is>
          <t>11672</t>
        </is>
      </c>
    </row>
    <row r="501" ht="20" customHeight="1">
      <c r="A501" s="16" t="inlineStr">
        <is>
          <t>PAEA-CCISM-0500</t>
        </is>
      </c>
      <c r="B501" s="16" t="inlineStr">
        <is>
          <t>502203</t>
        </is>
      </c>
      <c r="C501" s="17" t="inlineStr">
        <is>
          <t>MANEA NEE TEHAHE FELICIE</t>
        </is>
      </c>
      <c r="D501" s="17" t="inlineStr">
        <is>
          <t>DERR CIMETIERE APRES SALLE OMNISPOR 98711 PAEA</t>
        </is>
      </c>
      <c r="E501" s="17" t="inlineStr">
        <is>
          <t>Patenté (Personne Physique)</t>
        </is>
      </c>
      <c r="F501" s="17" t="inlineStr">
        <is>
          <t>Patenté</t>
        </is>
      </c>
      <c r="G501" s="16" t="inlineStr">
        <is>
          <t>8130Z</t>
        </is>
      </c>
      <c r="H501" s="16" t="inlineStr">
        <is>
          <t>M</t>
        </is>
      </c>
      <c r="I501" s="17" t="inlineStr">
        <is>
          <t>Métiers &amp; Artisanat</t>
        </is>
      </c>
      <c r="J501" s="18" t="n">
        <v>1</v>
      </c>
      <c r="K501" s="18" t="n">
        <v>1</v>
      </c>
      <c r="L501" s="17" t="inlineStr">
        <is>
          <t>21 5 A</t>
        </is>
      </c>
      <c r="M501" s="17" t="inlineStr">
        <is>
          <t>Mme MANEA (Née TEHAHE) FELICIE</t>
        </is>
      </c>
      <c r="N501" s="17" t="inlineStr">
        <is>
          <t>Chef d entreprise</t>
        </is>
      </c>
      <c r="O501" s="18" t="inlineStr">
        <is>
          <t>11685</t>
        </is>
      </c>
    </row>
    <row r="502" ht="20" customHeight="1">
      <c r="A502" s="13" t="inlineStr">
        <is>
          <t>PAEA-CCISM-0501</t>
        </is>
      </c>
      <c r="B502" s="13" t="inlineStr">
        <is>
          <t>E18570</t>
        </is>
      </c>
      <c r="C502" s="14" t="inlineStr">
        <is>
          <t>MANUOPUAVA RAYMOND</t>
        </is>
      </c>
      <c r="D502" s="14" t="inlineStr">
        <is>
          <t>RTE SERVITUDE CADOUSTEAU 98711 PAEA</t>
        </is>
      </c>
      <c r="E502" s="14" t="inlineStr">
        <is>
          <t>Patenté (Personne Physique)</t>
        </is>
      </c>
      <c r="F502" s="14" t="inlineStr">
        <is>
          <t>Patenté</t>
        </is>
      </c>
      <c r="G502" s="13" t="inlineStr">
        <is>
          <t>4339Z</t>
        </is>
      </c>
      <c r="H502" s="13" t="inlineStr">
        <is>
          <t>M</t>
        </is>
      </c>
      <c r="I502" s="14" t="inlineStr">
        <is>
          <t>Métiers &amp; Artisanat</t>
        </is>
      </c>
      <c r="J502" s="15" t="n">
        <v>0</v>
      </c>
      <c r="K502" s="15" t="n">
        <v>1</v>
      </c>
      <c r="L502" s="14" t="inlineStr">
        <is>
          <t>21 873 A</t>
        </is>
      </c>
      <c r="M502" s="14" t="inlineStr">
        <is>
          <t>M MANUOPUAVA RAYMOND</t>
        </is>
      </c>
      <c r="N502" s="14" t="inlineStr">
        <is>
          <t>Chef d entreprise</t>
        </is>
      </c>
      <c r="O502" s="15" t="inlineStr">
        <is>
          <t>11728</t>
        </is>
      </c>
    </row>
    <row r="503" ht="20" customHeight="1">
      <c r="A503" s="16" t="inlineStr">
        <is>
          <t>PAEA-CCISM-0502</t>
        </is>
      </c>
      <c r="B503" s="16" t="inlineStr">
        <is>
          <t>642538</t>
        </is>
      </c>
      <c r="C503" s="17" t="inlineStr">
        <is>
          <t>MAOPI MAURICE</t>
        </is>
      </c>
      <c r="D503" s="17" t="inlineStr">
        <is>
          <t>RTE LOTISSEMENT MONTARON RTE MARAE TAATA N°29 98711 PAEA</t>
        </is>
      </c>
      <c r="E503" s="17" t="inlineStr">
        <is>
          <t>Patenté (Personne Physique)</t>
        </is>
      </c>
      <c r="F503" s="17" t="inlineStr">
        <is>
          <t>Patenté</t>
        </is>
      </c>
      <c r="G503" s="16" t="inlineStr">
        <is>
          <t>4339Z</t>
        </is>
      </c>
      <c r="H503" s="16" t="inlineStr">
        <is>
          <t>M</t>
        </is>
      </c>
      <c r="I503" s="17" t="inlineStr">
        <is>
          <t>Métiers &amp; Artisanat</t>
        </is>
      </c>
      <c r="J503" s="18" t="n">
        <v>0</v>
      </c>
      <c r="K503" s="18" t="n">
        <v>1</v>
      </c>
      <c r="L503" s="17" t="inlineStr">
        <is>
          <t>22 288 A</t>
        </is>
      </c>
      <c r="M503" s="17" t="inlineStr">
        <is>
          <t>M MAOPI MAURICE</t>
        </is>
      </c>
      <c r="N503" s="17" t="inlineStr">
        <is>
          <t>Chef d entreprise</t>
        </is>
      </c>
      <c r="O503" s="18" t="inlineStr">
        <is>
          <t>11773</t>
        </is>
      </c>
    </row>
    <row r="504" ht="20" customHeight="1">
      <c r="A504" s="13" t="inlineStr">
        <is>
          <t>PAEA-CCISM-0503</t>
        </is>
      </c>
      <c r="B504" s="13" t="inlineStr">
        <is>
          <t>D27947</t>
        </is>
      </c>
      <c r="C504" s="14" t="inlineStr">
        <is>
          <t>MARAETEFAU ANNE</t>
        </is>
      </c>
      <c r="D504" s="14" t="inlineStr">
        <is>
          <t>98711 PAEA</t>
        </is>
      </c>
      <c r="E504" s="14" t="inlineStr">
        <is>
          <t>Patenté (Personne Physique)</t>
        </is>
      </c>
      <c r="F504" s="14" t="inlineStr">
        <is>
          <t>Patenté</t>
        </is>
      </c>
      <c r="G504" s="13" t="inlineStr">
        <is>
          <t>9602B</t>
        </is>
      </c>
      <c r="H504" s="13" t="inlineStr">
        <is>
          <t>M</t>
        </is>
      </c>
      <c r="I504" s="14" t="inlineStr">
        <is>
          <t>Métiers &amp; Artisanat</t>
        </is>
      </c>
      <c r="J504" s="15" t="n">
        <v>0</v>
      </c>
      <c r="K504" s="15" t="n">
        <v>1</v>
      </c>
      <c r="L504" s="14" t="inlineStr">
        <is>
          <t>19 1504 A</t>
        </is>
      </c>
      <c r="M504" s="14" t="inlineStr">
        <is>
          <t>Mme MARAETEFAU ANNE</t>
        </is>
      </c>
      <c r="N504" s="14" t="inlineStr">
        <is>
          <t>Chef d entreprise</t>
        </is>
      </c>
      <c r="O504" s="15" t="inlineStr">
        <is>
          <t>11812</t>
        </is>
      </c>
    </row>
    <row r="505" ht="20" customHeight="1">
      <c r="A505" s="16" t="inlineStr">
        <is>
          <t>PAEA-CCISM-0504</t>
        </is>
      </c>
      <c r="B505" s="16" t="inlineStr">
        <is>
          <t>F18248</t>
        </is>
      </c>
      <c r="C505" s="17" t="inlineStr">
        <is>
          <t>MARAMA TAPUTEA</t>
        </is>
      </c>
      <c r="D505" s="17" t="inlineStr">
        <is>
          <t>DER STADE 98711 PAEA</t>
        </is>
      </c>
      <c r="E505" s="17" t="inlineStr">
        <is>
          <t>Patenté (Personne Physique)</t>
        </is>
      </c>
      <c r="F505" s="17" t="inlineStr">
        <is>
          <t>Patenté</t>
        </is>
      </c>
      <c r="G505" s="16" t="inlineStr">
        <is>
          <t>2562B</t>
        </is>
      </c>
      <c r="H505" s="16" t="inlineStr">
        <is>
          <t>M</t>
        </is>
      </c>
      <c r="I505" s="17" t="inlineStr">
        <is>
          <t>Métiers &amp; Artisanat</t>
        </is>
      </c>
      <c r="J505" s="18" t="n">
        <v>0</v>
      </c>
      <c r="K505" s="18" t="n">
        <v>1</v>
      </c>
      <c r="L505" s="17" t="inlineStr">
        <is>
          <t>23 441 A</t>
        </is>
      </c>
      <c r="M505" s="17" t="inlineStr">
        <is>
          <t>M MARAMA TAPUTEA</t>
        </is>
      </c>
      <c r="N505" s="17" t="inlineStr">
        <is>
          <t>Chef d entreprise</t>
        </is>
      </c>
      <c r="O505" s="18" t="inlineStr">
        <is>
          <t>11830</t>
        </is>
      </c>
    </row>
    <row r="506" ht="20" customHeight="1">
      <c r="A506" s="13" t="inlineStr">
        <is>
          <t>PAEA-CCISM-0505</t>
        </is>
      </c>
      <c r="B506" s="13" t="inlineStr">
        <is>
          <t>F69589</t>
        </is>
      </c>
      <c r="C506" s="14" t="inlineStr">
        <is>
          <t>MARCELLIN ERIC</t>
        </is>
      </c>
      <c r="D506" s="14" t="inlineStr">
        <is>
          <t>N°33 D SERV ATIORO 98711 PAEA</t>
        </is>
      </c>
      <c r="E506" s="14" t="inlineStr">
        <is>
          <t>Patenté (Personne Physique)</t>
        </is>
      </c>
      <c r="F506" s="14" t="inlineStr">
        <is>
          <t>Patenté</t>
        </is>
      </c>
      <c r="G506" s="13" t="inlineStr">
        <is>
          <t>4339Z</t>
        </is>
      </c>
      <c r="H506" s="13" t="inlineStr">
        <is>
          <t>M</t>
        </is>
      </c>
      <c r="I506" s="14" t="inlineStr">
        <is>
          <t>Métiers &amp; Artisanat</t>
        </is>
      </c>
      <c r="J506" s="15" t="n">
        <v>0</v>
      </c>
      <c r="K506" s="15" t="n">
        <v>1</v>
      </c>
      <c r="L506" s="14" t="inlineStr">
        <is>
          <t>24 255 A</t>
        </is>
      </c>
      <c r="M506" s="14" t="inlineStr">
        <is>
          <t>M MARCELLIN ERIC</t>
        </is>
      </c>
      <c r="N506" s="14" t="inlineStr">
        <is>
          <t>Chef d entreprise</t>
        </is>
      </c>
      <c r="O506" s="15" t="inlineStr">
        <is>
          <t>11834</t>
        </is>
      </c>
    </row>
    <row r="507" ht="20" customHeight="1">
      <c r="A507" s="16" t="inlineStr">
        <is>
          <t>PAEA-CCISM-0506</t>
        </is>
      </c>
      <c r="B507" s="16" t="inlineStr">
        <is>
          <t>D10885</t>
        </is>
      </c>
      <c r="C507" s="17" t="inlineStr">
        <is>
          <t>MARCHANDISE NEE GRAPPE JULIE VERONIQUE</t>
        </is>
      </c>
      <c r="D507" s="17" t="inlineStr">
        <is>
          <t>RTE DE LA VALLEE OROFERO 98711 PAEA</t>
        </is>
      </c>
      <c r="E507" s="17" t="inlineStr">
        <is>
          <t>Patenté (Personne Physique)</t>
        </is>
      </c>
      <c r="F507" s="17" t="inlineStr">
        <is>
          <t>Patenté</t>
        </is>
      </c>
      <c r="G507" s="16" t="inlineStr">
        <is>
          <t>9602B</t>
        </is>
      </c>
      <c r="H507" s="16" t="inlineStr">
        <is>
          <t>M</t>
        </is>
      </c>
      <c r="I507" s="17" t="inlineStr">
        <is>
          <t>Métiers &amp; Artisanat</t>
        </is>
      </c>
      <c r="J507" s="18" t="n">
        <v>0</v>
      </c>
      <c r="K507" s="18" t="n">
        <v>1</v>
      </c>
      <c r="L507" s="17" t="inlineStr">
        <is>
          <t>19 139 A</t>
        </is>
      </c>
      <c r="M507" s="17" t="inlineStr">
        <is>
          <t>Mme MARCHANDISE (Née GRAPPE) JULIE VERONIQUE</t>
        </is>
      </c>
      <c r="N507" s="17" t="inlineStr">
        <is>
          <t>Chef d entreprise</t>
        </is>
      </c>
      <c r="O507" s="18" t="inlineStr">
        <is>
          <t>11843</t>
        </is>
      </c>
    </row>
    <row r="508" ht="20" customHeight="1">
      <c r="A508" s="13" t="inlineStr">
        <is>
          <t>PAEA-CCISM-0507</t>
        </is>
      </c>
      <c r="B508" s="13" t="inlineStr">
        <is>
          <t>E02129</t>
        </is>
      </c>
      <c r="C508" s="14" t="inlineStr">
        <is>
          <t>MARQUIGNY ANTOINE</t>
        </is>
      </c>
      <c r="D508" s="14" t="inlineStr">
        <is>
          <t>VALLEE OROFERO DOMAINE MAHUTATUA LOT 3 98711 PAEA</t>
        </is>
      </c>
      <c r="E508" s="14" t="inlineStr">
        <is>
          <t>Patenté (Personne Physique)</t>
        </is>
      </c>
      <c r="F508" s="14" t="inlineStr">
        <is>
          <t>Patenté</t>
        </is>
      </c>
      <c r="G508" s="13" t="inlineStr">
        <is>
          <t>4391A</t>
        </is>
      </c>
      <c r="H508" s="13" t="inlineStr">
        <is>
          <t>M</t>
        </is>
      </c>
      <c r="I508" s="14" t="inlineStr">
        <is>
          <t>Métiers &amp; Artisanat</t>
        </is>
      </c>
      <c r="J508" s="15" t="n">
        <v>0</v>
      </c>
      <c r="K508" s="15" t="n">
        <v>1</v>
      </c>
      <c r="L508" s="14" t="inlineStr">
        <is>
          <t>20 2819 A</t>
        </is>
      </c>
      <c r="M508" s="14" t="inlineStr">
        <is>
          <t>M MARQUIGNY ANTOINE</t>
        </is>
      </c>
      <c r="N508" s="14" t="inlineStr">
        <is>
          <t>Chef d entreprise</t>
        </is>
      </c>
      <c r="O508" s="15" t="inlineStr">
        <is>
          <t>11905</t>
        </is>
      </c>
    </row>
    <row r="509" ht="20" customHeight="1">
      <c r="A509" s="16" t="inlineStr">
        <is>
          <t>PAEA-CCISM-0508</t>
        </is>
      </c>
      <c r="B509" s="16" t="inlineStr">
        <is>
          <t>733329</t>
        </is>
      </c>
      <c r="C509" s="17" t="inlineStr">
        <is>
          <t>MARTIN CHRISTOPHE ETIENNE FRANCIS</t>
        </is>
      </c>
      <c r="D509" s="17" t="inlineStr">
        <is>
          <t>PAEA PK 19.500 C/MONT 98711 PAEA</t>
        </is>
      </c>
      <c r="E509" s="17" t="inlineStr">
        <is>
          <t>Patenté (Personne Physique)</t>
        </is>
      </c>
      <c r="F509" s="17" t="inlineStr">
        <is>
          <t>Patenté</t>
        </is>
      </c>
      <c r="G509" s="16" t="inlineStr">
        <is>
          <t>8130Z</t>
        </is>
      </c>
      <c r="H509" s="16" t="inlineStr">
        <is>
          <t>M</t>
        </is>
      </c>
      <c r="I509" s="17" t="inlineStr">
        <is>
          <t>Métiers &amp; Artisanat</t>
        </is>
      </c>
      <c r="J509" s="18" t="n">
        <v>0</v>
      </c>
      <c r="K509" s="18" t="n">
        <v>1</v>
      </c>
      <c r="L509" s="17" t="inlineStr">
        <is>
          <t>05 529 A</t>
        </is>
      </c>
      <c r="M509" s="17" t="inlineStr">
        <is>
          <t>M MARTIN CHRISTOPHE ETIENNE FRANCIS</t>
        </is>
      </c>
      <c r="N509" s="17" t="inlineStr">
        <is>
          <t>Chef d entreprise</t>
        </is>
      </c>
      <c r="O509" s="18" t="inlineStr">
        <is>
          <t>11918</t>
        </is>
      </c>
    </row>
    <row r="510" ht="20" customHeight="1">
      <c r="A510" s="13" t="inlineStr">
        <is>
          <t>PAEA-CCISM-0509</t>
        </is>
      </c>
      <c r="B510" s="13" t="inlineStr">
        <is>
          <t>579417</t>
        </is>
      </c>
      <c r="C510" s="14" t="inlineStr">
        <is>
          <t>MARUAE NEE TAUMI MAIRE</t>
        </is>
      </c>
      <c r="D510" s="14" t="inlineStr">
        <is>
          <t>RTE SERVITUDE TEHAUPARU 98711 PAEA</t>
        </is>
      </c>
      <c r="E510" s="14" t="inlineStr">
        <is>
          <t>Patenté (Personne Physique)</t>
        </is>
      </c>
      <c r="F510" s="14" t="inlineStr">
        <is>
          <t>Patenté</t>
        </is>
      </c>
      <c r="G510" s="13" t="inlineStr">
        <is>
          <t>1071D</t>
        </is>
      </c>
      <c r="H510" s="13" t="inlineStr">
        <is>
          <t>M</t>
        </is>
      </c>
      <c r="I510" s="14" t="inlineStr">
        <is>
          <t>Métiers &amp; Artisanat</t>
        </is>
      </c>
      <c r="J510" s="15" t="n">
        <v>0</v>
      </c>
      <c r="K510" s="15" t="n">
        <v>1</v>
      </c>
      <c r="L510" s="14" t="inlineStr">
        <is>
          <t>16 1136 A</t>
        </is>
      </c>
      <c r="M510" s="14" t="inlineStr">
        <is>
          <t>Mme MARUAE (Née TAUMI) MAIRE</t>
        </is>
      </c>
      <c r="N510" s="14" t="inlineStr">
        <is>
          <t>Chef d entreprise</t>
        </is>
      </c>
      <c r="O510" s="15" t="inlineStr">
        <is>
          <t>11943</t>
        </is>
      </c>
    </row>
    <row r="511" ht="20" customHeight="1">
      <c r="A511" s="16" t="inlineStr">
        <is>
          <t>PAEA-CCISM-0510</t>
        </is>
      </c>
      <c r="B511" s="16" t="inlineStr">
        <is>
          <t>C58258</t>
        </is>
      </c>
      <c r="C511" s="17" t="inlineStr">
        <is>
          <t>MARURAI HOMAI SOPHIE TEARAI</t>
        </is>
      </c>
      <c r="D511" s="17" t="inlineStr">
        <is>
          <t>QTR VAITIARE 98711 PAEA</t>
        </is>
      </c>
      <c r="E511" s="17" t="inlineStr">
        <is>
          <t>Patenté (Personne Physique)</t>
        </is>
      </c>
      <c r="F511" s="17" t="inlineStr">
        <is>
          <t>Patenté</t>
        </is>
      </c>
      <c r="G511" s="16" t="inlineStr">
        <is>
          <t>1413Z</t>
        </is>
      </c>
      <c r="H511" s="16" t="inlineStr">
        <is>
          <t>M</t>
        </is>
      </c>
      <c r="I511" s="17" t="inlineStr">
        <is>
          <t>Métiers &amp; Artisanat</t>
        </is>
      </c>
      <c r="J511" s="18" t="n">
        <v>0</v>
      </c>
      <c r="K511" s="18" t="n">
        <v>1</v>
      </c>
      <c r="L511" s="17" t="inlineStr">
        <is>
          <t>18 1860 A</t>
        </is>
      </c>
      <c r="M511" s="17" t="inlineStr">
        <is>
          <t>M MARURAI HOMAI SOPHIE TEARAI</t>
        </is>
      </c>
      <c r="N511" s="17" t="inlineStr">
        <is>
          <t>Chef d entreprise</t>
        </is>
      </c>
      <c r="O511" s="18" t="inlineStr">
        <is>
          <t>11960</t>
        </is>
      </c>
    </row>
    <row r="512" ht="20" customHeight="1">
      <c r="A512" s="13" t="inlineStr">
        <is>
          <t>PAEA-CCISM-0511</t>
        </is>
      </c>
      <c r="B512" s="13" t="inlineStr">
        <is>
          <t>F21234</t>
        </is>
      </c>
      <c r="C512" s="14" t="inlineStr">
        <is>
          <t>MASSIN PATRICE MOANA</t>
        </is>
      </c>
      <c r="D512" s="14" t="inlineStr">
        <is>
          <t>VALLEE OROFERO 98711 PAEA</t>
        </is>
      </c>
      <c r="E512" s="14" t="inlineStr">
        <is>
          <t>Patenté (Personne Physique)</t>
        </is>
      </c>
      <c r="F512" s="14" t="inlineStr">
        <is>
          <t>Patenté</t>
        </is>
      </c>
      <c r="G512" s="13" t="inlineStr">
        <is>
          <t>4520A</t>
        </is>
      </c>
      <c r="H512" s="13" t="inlineStr">
        <is>
          <t>M</t>
        </is>
      </c>
      <c r="I512" s="14" t="inlineStr">
        <is>
          <t>Métiers &amp; Artisanat</t>
        </is>
      </c>
      <c r="J512" s="15" t="n">
        <v>0</v>
      </c>
      <c r="K512" s="15" t="n">
        <v>1</v>
      </c>
      <c r="L512" s="14" t="inlineStr">
        <is>
          <t>23 529 A</t>
        </is>
      </c>
      <c r="M512" s="14" t="inlineStr">
        <is>
          <t>M MASSIN PATRICE MOANA</t>
        </is>
      </c>
      <c r="N512" s="14" t="inlineStr">
        <is>
          <t>Chef d entreprise</t>
        </is>
      </c>
      <c r="O512" s="15" t="inlineStr">
        <is>
          <t>11975</t>
        </is>
      </c>
    </row>
    <row r="513" ht="20" customHeight="1">
      <c r="A513" s="16" t="inlineStr">
        <is>
          <t>PAEA-CCISM-0512</t>
        </is>
      </c>
      <c r="B513" s="16" t="inlineStr">
        <is>
          <t>C00649</t>
        </is>
      </c>
      <c r="C513" s="17" t="inlineStr">
        <is>
          <t>MATAITAI TEFANA</t>
        </is>
      </c>
      <c r="D513" s="17" t="inlineStr">
        <is>
          <t>ROUTE SALLE SPORT TIAPA 98711 PAEA</t>
        </is>
      </c>
      <c r="E513" s="17" t="inlineStr">
        <is>
          <t>Patenté (Personne Physique)</t>
        </is>
      </c>
      <c r="F513" s="17" t="inlineStr">
        <is>
          <t>Patenté</t>
        </is>
      </c>
      <c r="G513" s="16" t="inlineStr">
        <is>
          <t>4321A</t>
        </is>
      </c>
      <c r="H513" s="16" t="inlineStr">
        <is>
          <t>M</t>
        </is>
      </c>
      <c r="I513" s="17" t="inlineStr">
        <is>
          <t>Métiers &amp; Artisanat</t>
        </is>
      </c>
      <c r="J513" s="18" t="n">
        <v>0</v>
      </c>
      <c r="K513" s="18" t="n">
        <v>1</v>
      </c>
      <c r="L513" s="17" t="inlineStr">
        <is>
          <t>25 147 A</t>
        </is>
      </c>
      <c r="M513" s="17" t="inlineStr">
        <is>
          <t>M MATAITAI TEFANA</t>
        </is>
      </c>
      <c r="N513" s="17" t="inlineStr">
        <is>
          <t>Chef d entreprise</t>
        </is>
      </c>
      <c r="O513" s="18" t="inlineStr">
        <is>
          <t>12013</t>
        </is>
      </c>
    </row>
    <row r="514" ht="20" customHeight="1">
      <c r="A514" s="13" t="inlineStr">
        <is>
          <t>PAEA-CCISM-0513</t>
        </is>
      </c>
      <c r="B514" s="13" t="inlineStr">
        <is>
          <t>808634</t>
        </is>
      </c>
      <c r="C514" s="14" t="inlineStr">
        <is>
          <t>MATEAU ODETTE</t>
        </is>
      </c>
      <c r="D514" s="14" t="inlineStr">
        <is>
          <t>98711 PAEA</t>
        </is>
      </c>
      <c r="E514" s="14" t="inlineStr">
        <is>
          <t>Patenté (Personne Physique)</t>
        </is>
      </c>
      <c r="F514" s="14" t="inlineStr">
        <is>
          <t>Patenté</t>
        </is>
      </c>
      <c r="G514" s="13" t="inlineStr">
        <is>
          <t>8121Z</t>
        </is>
      </c>
      <c r="H514" s="13" t="inlineStr">
        <is>
          <t>M</t>
        </is>
      </c>
      <c r="I514" s="14" t="inlineStr">
        <is>
          <t>Métiers &amp; Artisanat</t>
        </is>
      </c>
      <c r="J514" s="15" t="n">
        <v>0</v>
      </c>
      <c r="K514" s="15" t="n">
        <v>1</v>
      </c>
      <c r="L514" s="14" t="inlineStr">
        <is>
          <t>16 980 A</t>
        </is>
      </c>
      <c r="M514" s="14" t="inlineStr">
        <is>
          <t>Mme MATEAU ODETTE</t>
        </is>
      </c>
      <c r="N514" s="14" t="inlineStr">
        <is>
          <t>Chef d entreprise</t>
        </is>
      </c>
      <c r="O514" s="15" t="inlineStr">
        <is>
          <t>12045</t>
        </is>
      </c>
    </row>
    <row r="515" ht="20" customHeight="1">
      <c r="A515" s="16" t="inlineStr">
        <is>
          <t>PAEA-CCISM-0514</t>
        </is>
      </c>
      <c r="B515" s="16" t="inlineStr">
        <is>
          <t>401471</t>
        </is>
      </c>
      <c r="C515" s="17" t="inlineStr">
        <is>
          <t>MATOHI ATHANASE</t>
        </is>
      </c>
      <c r="D515" s="17" t="inlineStr">
        <is>
          <t>PAEA PK 19.500 C/MONT - NONO 98711 PAEA</t>
        </is>
      </c>
      <c r="E515" s="17" t="inlineStr">
        <is>
          <t>Patenté (Personne Physique)</t>
        </is>
      </c>
      <c r="F515" s="17" t="inlineStr">
        <is>
          <t>Patenté</t>
        </is>
      </c>
      <c r="G515" s="16" t="inlineStr">
        <is>
          <t>3230Z</t>
        </is>
      </c>
      <c r="H515" s="16" t="inlineStr">
        <is>
          <t>M</t>
        </is>
      </c>
      <c r="I515" s="17" t="inlineStr">
        <is>
          <t>Métiers &amp; Artisanat</t>
        </is>
      </c>
      <c r="J515" s="18" t="n">
        <v>0</v>
      </c>
      <c r="K515" s="18" t="n">
        <v>1</v>
      </c>
      <c r="L515" s="17" t="inlineStr">
        <is>
          <t>27334 A</t>
        </is>
      </c>
      <c r="M515" s="17" t="inlineStr">
        <is>
          <t>M MATOHI ATHANASE</t>
        </is>
      </c>
      <c r="N515" s="17" t="inlineStr">
        <is>
          <t>Chef d entreprise</t>
        </is>
      </c>
      <c r="O515" s="18" t="inlineStr">
        <is>
          <t>12064</t>
        </is>
      </c>
    </row>
    <row r="516" ht="20" customHeight="1">
      <c r="A516" s="13" t="inlineStr">
        <is>
          <t>PAEA-CCISM-0515</t>
        </is>
      </c>
      <c r="B516" s="13" t="inlineStr">
        <is>
          <t>A55969</t>
        </is>
      </c>
      <c r="C516" s="14" t="inlineStr">
        <is>
          <t>MATUANUI PATTRICK MAURICE TEIVA</t>
        </is>
      </c>
      <c r="D516" s="14" t="inlineStr">
        <is>
          <t>PAEA LOTIS TE PUHAPA N°33 98711 PAEA</t>
        </is>
      </c>
      <c r="E516" s="14" t="inlineStr">
        <is>
          <t>Patenté (Personne Physique)</t>
        </is>
      </c>
      <c r="F516" s="14" t="inlineStr">
        <is>
          <t>Patenté</t>
        </is>
      </c>
      <c r="G516" s="13" t="inlineStr">
        <is>
          <t>4520A</t>
        </is>
      </c>
      <c r="H516" s="13" t="inlineStr">
        <is>
          <t>M</t>
        </is>
      </c>
      <c r="I516" s="14" t="inlineStr">
        <is>
          <t>Métiers &amp; Artisanat</t>
        </is>
      </c>
      <c r="J516" s="15" t="n">
        <v>0</v>
      </c>
      <c r="K516" s="15" t="n">
        <v>1</v>
      </c>
      <c r="L516" s="14" t="inlineStr">
        <is>
          <t>13 155 A</t>
        </is>
      </c>
      <c r="M516" s="14" t="inlineStr">
        <is>
          <t>M MATUANUI PATTRICK MAURICE TEIVA</t>
        </is>
      </c>
      <c r="N516" s="14" t="inlineStr">
        <is>
          <t>Chef d entreprise</t>
        </is>
      </c>
      <c r="O516" s="15" t="inlineStr">
        <is>
          <t>12074</t>
        </is>
      </c>
    </row>
    <row r="517" ht="20" customHeight="1">
      <c r="A517" s="16" t="inlineStr">
        <is>
          <t>PAEA-CCISM-0516</t>
        </is>
      </c>
      <c r="B517" s="16" t="inlineStr">
        <is>
          <t>552968</t>
        </is>
      </c>
      <c r="C517" s="17" t="inlineStr">
        <is>
          <t>MAUGET ARNAUD SERGE LAURENT</t>
        </is>
      </c>
      <c r="D517" s="17" t="inlineStr">
        <is>
          <t>PAEA 98711 PAEA</t>
        </is>
      </c>
      <c r="E517" s="17" t="inlineStr">
        <is>
          <t>Patenté (Personne Physique)</t>
        </is>
      </c>
      <c r="F517" s="17" t="inlineStr">
        <is>
          <t>Patenté</t>
        </is>
      </c>
      <c r="G517" s="16" t="inlineStr">
        <is>
          <t>8130Z</t>
        </is>
      </c>
      <c r="H517" s="16" t="inlineStr">
        <is>
          <t>M</t>
        </is>
      </c>
      <c r="I517" s="17" t="inlineStr">
        <is>
          <t>Métiers &amp; Artisanat</t>
        </is>
      </c>
      <c r="J517" s="18" t="n">
        <v>0</v>
      </c>
      <c r="K517" s="18" t="n">
        <v>1</v>
      </c>
      <c r="L517" s="17" t="inlineStr">
        <is>
          <t>37164 A</t>
        </is>
      </c>
      <c r="M517" s="17" t="inlineStr">
        <is>
          <t>M MAUGET ARNAUD SERGE LAURENT</t>
        </is>
      </c>
      <c r="N517" s="17" t="inlineStr">
        <is>
          <t>Chef d entreprise</t>
        </is>
      </c>
      <c r="O517" s="18" t="inlineStr">
        <is>
          <t>12102</t>
        </is>
      </c>
    </row>
    <row r="518" ht="20" customHeight="1">
      <c r="A518" s="13" t="inlineStr">
        <is>
          <t>PAEA-CCISM-0517</t>
        </is>
      </c>
      <c r="B518" s="13" t="inlineStr">
        <is>
          <t>665794</t>
        </is>
      </c>
      <c r="C518" s="14" t="inlineStr">
        <is>
          <t>MBB</t>
        </is>
      </c>
      <c r="D518" s="14" t="inlineStr">
        <is>
          <t>PAEA PK 19.900 C/MONT. 98711 PAEA</t>
        </is>
      </c>
      <c r="E518" s="14" t="inlineStr">
        <is>
          <t>SARL</t>
        </is>
      </c>
      <c r="F518" s="14" t="inlineStr">
        <is>
          <t>Société</t>
        </is>
      </c>
      <c r="G518" s="13" t="inlineStr">
        <is>
          <t>4520A</t>
        </is>
      </c>
      <c r="H518" s="13" t="inlineStr">
        <is>
          <t>M</t>
        </is>
      </c>
      <c r="I518" s="14" t="inlineStr">
        <is>
          <t>Métiers &amp; Artisanat</t>
        </is>
      </c>
      <c r="J518" s="15" t="n">
        <v>0</v>
      </c>
      <c r="K518" s="15" t="n">
        <v>1</v>
      </c>
      <c r="L518" s="14" t="inlineStr">
        <is>
          <t>9456 B</t>
        </is>
      </c>
      <c r="M518" s="14" t="inlineStr">
        <is>
          <t>M BORNERT BERNARD MARIE</t>
        </is>
      </c>
      <c r="N518" s="14" t="inlineStr">
        <is>
          <t>Gérant</t>
        </is>
      </c>
      <c r="O518" s="15" t="inlineStr">
        <is>
          <t>12133</t>
        </is>
      </c>
    </row>
    <row r="519" ht="20" customHeight="1">
      <c r="A519" s="16" t="inlineStr">
        <is>
          <t>PAEA-CCISM-0518</t>
        </is>
      </c>
      <c r="B519" s="16" t="inlineStr">
        <is>
          <t>671024</t>
        </is>
      </c>
      <c r="C519" s="17" t="inlineStr">
        <is>
          <t>MC KENNA TIM EDMOND</t>
        </is>
      </c>
      <c r="D519" s="17" t="inlineStr">
        <is>
          <t>98711 PAEA</t>
        </is>
      </c>
      <c r="E519" s="17" t="inlineStr">
        <is>
          <t>Patenté (Personne Physique)</t>
        </is>
      </c>
      <c r="F519" s="17" t="inlineStr">
        <is>
          <t>Patenté</t>
        </is>
      </c>
      <c r="G519" s="16" t="inlineStr">
        <is>
          <t>7420Z</t>
        </is>
      </c>
      <c r="H519" s="16" t="inlineStr">
        <is>
          <t>M</t>
        </is>
      </c>
      <c r="I519" s="17" t="inlineStr">
        <is>
          <t>Métiers &amp; Artisanat</t>
        </is>
      </c>
      <c r="J519" s="18" t="n">
        <v>1</v>
      </c>
      <c r="K519" s="18" t="n">
        <v>1</v>
      </c>
      <c r="L519" s="17" t="inlineStr">
        <is>
          <t>43747 A</t>
        </is>
      </c>
      <c r="M519" s="17" t="inlineStr">
        <is>
          <t>M MC KENNA TIM EDMOND</t>
        </is>
      </c>
      <c r="N519" s="17" t="inlineStr">
        <is>
          <t>Chef d entreprise</t>
        </is>
      </c>
      <c r="O519" s="18" t="inlineStr">
        <is>
          <t>12139</t>
        </is>
      </c>
    </row>
    <row r="520" ht="20" customHeight="1">
      <c r="A520" s="13" t="inlineStr">
        <is>
          <t>PAEA-CCISM-0519</t>
        </is>
      </c>
      <c r="B520" s="13" t="inlineStr">
        <is>
          <t>F36646</t>
        </is>
      </c>
      <c r="C520" s="14" t="inlineStr">
        <is>
          <t>METUA GIOVANI</t>
        </is>
      </c>
      <c r="D520" s="14" t="inlineStr">
        <is>
          <t>RTE LOT N°789 B 98711 PAEA</t>
        </is>
      </c>
      <c r="E520" s="14" t="inlineStr">
        <is>
          <t>Patenté (Personne Physique)</t>
        </is>
      </c>
      <c r="F520" s="14" t="inlineStr">
        <is>
          <t>Patenté</t>
        </is>
      </c>
      <c r="G520" s="13" t="inlineStr">
        <is>
          <t>4332A</t>
        </is>
      </c>
      <c r="H520" s="13" t="inlineStr">
        <is>
          <t>M</t>
        </is>
      </c>
      <c r="I520" s="14" t="inlineStr">
        <is>
          <t>Métiers &amp; Artisanat</t>
        </is>
      </c>
      <c r="J520" s="15" t="n">
        <v>0</v>
      </c>
      <c r="K520" s="15" t="n">
        <v>1</v>
      </c>
      <c r="L520" s="14" t="inlineStr">
        <is>
          <t>23 1655 A</t>
        </is>
      </c>
      <c r="M520" s="14" t="inlineStr">
        <is>
          <t>M METUA GIOVANI</t>
        </is>
      </c>
      <c r="N520" s="14" t="inlineStr">
        <is>
          <t>Chef d entreprise</t>
        </is>
      </c>
      <c r="O520" s="15" t="inlineStr">
        <is>
          <t>12203</t>
        </is>
      </c>
    </row>
    <row r="521" ht="20" customHeight="1">
      <c r="A521" s="16" t="inlineStr">
        <is>
          <t>PAEA-CCISM-0520</t>
        </is>
      </c>
      <c r="B521" s="16" t="inlineStr">
        <is>
          <t>F94702</t>
        </is>
      </c>
      <c r="C521" s="17" t="inlineStr">
        <is>
          <t>METUA NEE JUBELY NIKESE</t>
        </is>
      </c>
      <c r="D521" s="17" t="inlineStr">
        <is>
          <t>VALLEE DE OROFERO 98711 PAEA</t>
        </is>
      </c>
      <c r="E521" s="17" t="inlineStr">
        <is>
          <t>Patenté (Personne Physique)</t>
        </is>
      </c>
      <c r="F521" s="17" t="inlineStr">
        <is>
          <t>Patenté</t>
        </is>
      </c>
      <c r="G521" s="16" t="inlineStr">
        <is>
          <t>9602B</t>
        </is>
      </c>
      <c r="H521" s="16" t="inlineStr">
        <is>
          <t>M</t>
        </is>
      </c>
      <c r="I521" s="17" t="inlineStr">
        <is>
          <t>Métiers &amp; Artisanat</t>
        </is>
      </c>
      <c r="J521" s="18" t="n">
        <v>0</v>
      </c>
      <c r="K521" s="18" t="n">
        <v>1</v>
      </c>
      <c r="L521" s="17" t="inlineStr">
        <is>
          <t>24 1892 A</t>
        </is>
      </c>
      <c r="M521" s="17" t="inlineStr">
        <is>
          <t>Mme METUA (Née JUBELY) NIKESE</t>
        </is>
      </c>
      <c r="N521" s="17" t="inlineStr">
        <is>
          <t>Chef d entreprise</t>
        </is>
      </c>
      <c r="O521" s="18" t="inlineStr">
        <is>
          <t>12205</t>
        </is>
      </c>
    </row>
    <row r="522" ht="20" customHeight="1">
      <c r="A522" s="13" t="inlineStr">
        <is>
          <t>PAEA-CCISM-0521</t>
        </is>
      </c>
      <c r="B522" s="13" t="inlineStr">
        <is>
          <t>E78533</t>
        </is>
      </c>
      <c r="C522" s="14" t="inlineStr">
        <is>
          <t>MIHIMANA BRANDON</t>
        </is>
      </c>
      <c r="D522" s="14" t="inlineStr">
        <is>
          <t>SVT TEIOTUA 98711 PAEA</t>
        </is>
      </c>
      <c r="E522" s="14" t="inlineStr">
        <is>
          <t>Patenté (Personne Physique)</t>
        </is>
      </c>
      <c r="F522" s="14" t="inlineStr">
        <is>
          <t>Patenté</t>
        </is>
      </c>
      <c r="G522" s="13" t="inlineStr">
        <is>
          <t>4321A</t>
        </is>
      </c>
      <c r="H522" s="13" t="inlineStr">
        <is>
          <t>M</t>
        </is>
      </c>
      <c r="I522" s="14" t="inlineStr">
        <is>
          <t>Métiers &amp; Artisanat</t>
        </is>
      </c>
      <c r="J522" s="15" t="n">
        <v>0</v>
      </c>
      <c r="K522" s="15" t="n">
        <v>1</v>
      </c>
      <c r="L522" s="14" t="inlineStr">
        <is>
          <t>22 1270 A</t>
        </is>
      </c>
      <c r="M522" s="14" t="inlineStr">
        <is>
          <t>M MIHIMANA BRANDON</t>
        </is>
      </c>
      <c r="N522" s="14" t="inlineStr">
        <is>
          <t>Chef d entreprise</t>
        </is>
      </c>
      <c r="O522" s="15" t="inlineStr">
        <is>
          <t>12240</t>
        </is>
      </c>
    </row>
    <row r="523" ht="20" customHeight="1">
      <c r="A523" s="16" t="inlineStr">
        <is>
          <t>PAEA-CCISM-0522</t>
        </is>
      </c>
      <c r="B523" s="16" t="inlineStr">
        <is>
          <t>212936</t>
        </is>
      </c>
      <c r="C523" s="17" t="inlineStr">
        <is>
          <t>MIHIMANA TEAEA</t>
        </is>
      </c>
      <c r="D523" s="17" t="inlineStr">
        <is>
          <t>PAEA PK 27.500 C/MGNE 98711 PAEA</t>
        </is>
      </c>
      <c r="E523" s="17" t="inlineStr">
        <is>
          <t>Patenté (Personne Physique)</t>
        </is>
      </c>
      <c r="F523" s="17" t="inlineStr">
        <is>
          <t>Patenté</t>
        </is>
      </c>
      <c r="G523" s="16" t="inlineStr">
        <is>
          <t>4321A</t>
        </is>
      </c>
      <c r="H523" s="16" t="inlineStr">
        <is>
          <t>M</t>
        </is>
      </c>
      <c r="I523" s="17" t="inlineStr">
        <is>
          <t>Métiers &amp; Artisanat</t>
        </is>
      </c>
      <c r="J523" s="18" t="n">
        <v>2</v>
      </c>
      <c r="K523" s="18" t="n">
        <v>1</v>
      </c>
      <c r="L523" s="17" t="inlineStr">
        <is>
          <t>30208 A</t>
        </is>
      </c>
      <c r="M523" s="17" t="inlineStr">
        <is>
          <t>M MIHIMANA TEAEA</t>
        </is>
      </c>
      <c r="N523" s="17" t="inlineStr">
        <is>
          <t>Chef d entreprise</t>
        </is>
      </c>
      <c r="O523" s="18" t="inlineStr">
        <is>
          <t>12242</t>
        </is>
      </c>
    </row>
    <row r="524" ht="20" customHeight="1">
      <c r="A524" s="13" t="inlineStr">
        <is>
          <t>PAEA-CCISM-0523</t>
        </is>
      </c>
      <c r="B524" s="13" t="inlineStr">
        <is>
          <t>D87404</t>
        </is>
      </c>
      <c r="C524" s="14" t="inlineStr">
        <is>
          <t>MINEL JACQUES ANDRE</t>
        </is>
      </c>
      <c r="D524" s="14" t="inlineStr">
        <is>
          <t>26 RTE LOTISSEMENT CHAPMAN 98711 PAEA</t>
        </is>
      </c>
      <c r="E524" s="14" t="inlineStr">
        <is>
          <t>Patenté (Personne Physique)</t>
        </is>
      </c>
      <c r="F524" s="14" t="inlineStr">
        <is>
          <t>Patenté</t>
        </is>
      </c>
      <c r="G524" s="13" t="inlineStr">
        <is>
          <t>3312Z</t>
        </is>
      </c>
      <c r="H524" s="13" t="inlineStr">
        <is>
          <t>M</t>
        </is>
      </c>
      <c r="I524" s="14" t="inlineStr">
        <is>
          <t>Métiers &amp; Artisanat</t>
        </is>
      </c>
      <c r="J524" s="15" t="n">
        <v>0</v>
      </c>
      <c r="K524" s="15" t="n">
        <v>1</v>
      </c>
      <c r="L524" s="14" t="inlineStr">
        <is>
          <t>20 1943 A</t>
        </is>
      </c>
      <c r="M524" s="14" t="inlineStr">
        <is>
          <t>M MINEL JACQUES ANDRE</t>
        </is>
      </c>
      <c r="N524" s="14" t="inlineStr">
        <is>
          <t>Chef d entreprise</t>
        </is>
      </c>
      <c r="O524" s="15" t="inlineStr">
        <is>
          <t>12259</t>
        </is>
      </c>
    </row>
    <row r="525" ht="20" customHeight="1">
      <c r="A525" s="16" t="inlineStr">
        <is>
          <t>PAEA-CCISM-0524</t>
        </is>
      </c>
      <c r="B525" s="16" t="inlineStr">
        <is>
          <t>F57774</t>
        </is>
      </c>
      <c r="C525" s="17" t="inlineStr">
        <is>
          <t>MIRAILLE NICOLAS</t>
        </is>
      </c>
      <c r="D525" s="17" t="inlineStr">
        <is>
          <t>APT 202 98711 PAEA</t>
        </is>
      </c>
      <c r="E525" s="17" t="inlineStr">
        <is>
          <t>Patenté (Personne Physique)</t>
        </is>
      </c>
      <c r="F525" s="17" t="inlineStr">
        <is>
          <t>Patenté</t>
        </is>
      </c>
      <c r="G525" s="16" t="inlineStr">
        <is>
          <t>4321A</t>
        </is>
      </c>
      <c r="H525" s="16" t="inlineStr">
        <is>
          <t>M</t>
        </is>
      </c>
      <c r="I525" s="17" t="inlineStr">
        <is>
          <t>Métiers &amp; Artisanat</t>
        </is>
      </c>
      <c r="J525" s="18" t="n">
        <v>0</v>
      </c>
      <c r="K525" s="18" t="n">
        <v>1</v>
      </c>
      <c r="L525" s="17" t="inlineStr">
        <is>
          <t>23 2953 A</t>
        </is>
      </c>
      <c r="M525" s="17" t="inlineStr">
        <is>
          <t>M MIRAILLE NICOLAS</t>
        </is>
      </c>
      <c r="N525" s="17" t="inlineStr">
        <is>
          <t>Chef d entreprise</t>
        </is>
      </c>
      <c r="O525" s="18" t="inlineStr">
        <is>
          <t>12265</t>
        </is>
      </c>
    </row>
    <row r="526" ht="20" customHeight="1">
      <c r="A526" s="13" t="inlineStr">
        <is>
          <t>PAEA-CCISM-0525</t>
        </is>
      </c>
      <c r="B526" s="13" t="inlineStr">
        <is>
          <t>E06401</t>
        </is>
      </c>
      <c r="C526" s="14" t="inlineStr">
        <is>
          <t>MO NEE UEVA MARIE</t>
        </is>
      </c>
      <c r="D526" s="14" t="inlineStr">
        <is>
          <t>QUARTIER VAIAPAUA 98711 PAEA</t>
        </is>
      </c>
      <c r="E526" s="14" t="inlineStr">
        <is>
          <t>Patenté (Personne Physique)</t>
        </is>
      </c>
      <c r="F526" s="14" t="inlineStr">
        <is>
          <t>Patenté</t>
        </is>
      </c>
      <c r="G526" s="13" t="inlineStr">
        <is>
          <t>1413Z</t>
        </is>
      </c>
      <c r="H526" s="13" t="inlineStr">
        <is>
          <t>M</t>
        </is>
      </c>
      <c r="I526" s="14" t="inlineStr">
        <is>
          <t>Métiers &amp; Artisanat</t>
        </is>
      </c>
      <c r="J526" s="15" t="n">
        <v>0</v>
      </c>
      <c r="K526" s="15" t="n">
        <v>1</v>
      </c>
      <c r="L526" s="14" t="inlineStr">
        <is>
          <t>22 3029 A</t>
        </is>
      </c>
      <c r="M526" s="14" t="inlineStr">
        <is>
          <t>Mme MO (Née UEVA) MARIE</t>
        </is>
      </c>
      <c r="N526" s="14" t="inlineStr">
        <is>
          <t>Chef d entreprise</t>
        </is>
      </c>
      <c r="O526" s="15" t="inlineStr">
        <is>
          <t>12272</t>
        </is>
      </c>
    </row>
    <row r="527" ht="20" customHeight="1">
      <c r="A527" s="16" t="inlineStr">
        <is>
          <t>PAEA-CCISM-0526</t>
        </is>
      </c>
      <c r="B527" s="16" t="inlineStr">
        <is>
          <t>134452</t>
        </is>
      </c>
      <c r="C527" s="17" t="inlineStr">
        <is>
          <t>MOCELLIN JEAN-MICHEL</t>
        </is>
      </c>
      <c r="D527" s="17" t="inlineStr">
        <is>
          <t>98711 PAEA</t>
        </is>
      </c>
      <c r="E527" s="17" t="inlineStr">
        <is>
          <t>Patenté (Personne Physique)</t>
        </is>
      </c>
      <c r="F527" s="17" t="inlineStr">
        <is>
          <t>Patenté</t>
        </is>
      </c>
      <c r="G527" s="16" t="inlineStr">
        <is>
          <t>4339Z</t>
        </is>
      </c>
      <c r="H527" s="16" t="inlineStr">
        <is>
          <t>M</t>
        </is>
      </c>
      <c r="I527" s="17" t="inlineStr">
        <is>
          <t>Métiers &amp; Artisanat</t>
        </is>
      </c>
      <c r="J527" s="18" t="n">
        <v>0</v>
      </c>
      <c r="K527" s="18" t="n">
        <v>1</v>
      </c>
      <c r="L527" s="17" t="inlineStr">
        <is>
          <t>13954 A</t>
        </is>
      </c>
      <c r="M527" s="17" t="inlineStr">
        <is>
          <t>M MOCELLIN JEAN MICHEL</t>
        </is>
      </c>
      <c r="N527" s="17" t="inlineStr">
        <is>
          <t>Chef d entreprise</t>
        </is>
      </c>
      <c r="O527" s="18" t="inlineStr">
        <is>
          <t>12283</t>
        </is>
      </c>
    </row>
    <row r="528" ht="20" customHeight="1">
      <c r="A528" s="13" t="inlineStr">
        <is>
          <t>PAEA-CCISM-0527</t>
        </is>
      </c>
      <c r="B528" s="13" t="inlineStr">
        <is>
          <t>212464</t>
        </is>
      </c>
      <c r="C528" s="14" t="inlineStr">
        <is>
          <t>MONTARON MOANATEA PHILIBERT</t>
        </is>
      </c>
      <c r="D528" s="14" t="inlineStr">
        <is>
          <t>QTIER MONTARON 98711 PAEA</t>
        </is>
      </c>
      <c r="E528" s="14" t="inlineStr">
        <is>
          <t>Patenté (Personne Physique)</t>
        </is>
      </c>
      <c r="F528" s="14" t="inlineStr">
        <is>
          <t>Patenté</t>
        </is>
      </c>
      <c r="G528" s="13" t="inlineStr">
        <is>
          <t>4520A</t>
        </is>
      </c>
      <c r="H528" s="13" t="inlineStr">
        <is>
          <t>M</t>
        </is>
      </c>
      <c r="I528" s="14" t="inlineStr">
        <is>
          <t>Métiers &amp; Artisanat</t>
        </is>
      </c>
      <c r="J528" s="15" t="n">
        <v>0</v>
      </c>
      <c r="K528" s="15" t="n">
        <v>1</v>
      </c>
      <c r="L528" s="14" t="inlineStr">
        <is>
          <t>14 140 A</t>
        </is>
      </c>
      <c r="M528" s="14" t="inlineStr">
        <is>
          <t>M MONTARON MOANATEA PHILIBERT</t>
        </is>
      </c>
      <c r="N528" s="14" t="inlineStr">
        <is>
          <t>Chef d entreprise</t>
        </is>
      </c>
      <c r="O528" s="15" t="inlineStr">
        <is>
          <t>12345</t>
        </is>
      </c>
    </row>
    <row r="529" ht="20" customHeight="1">
      <c r="A529" s="16" t="inlineStr">
        <is>
          <t>PAEA-CCISM-0528</t>
        </is>
      </c>
      <c r="B529" s="16" t="inlineStr">
        <is>
          <t>426361</t>
        </is>
      </c>
      <c r="C529" s="17" t="inlineStr">
        <is>
          <t>MONTARON MOANAURI, JACQUES</t>
        </is>
      </c>
      <c r="D529" s="17" t="inlineStr">
        <is>
          <t>FACE FOURCADE 98711 PAEA</t>
        </is>
      </c>
      <c r="E529" s="17" t="inlineStr">
        <is>
          <t>Patenté (Personne Physique)</t>
        </is>
      </c>
      <c r="F529" s="17" t="inlineStr">
        <is>
          <t>Patenté</t>
        </is>
      </c>
      <c r="G529" s="16" t="inlineStr">
        <is>
          <t>4332A</t>
        </is>
      </c>
      <c r="H529" s="16" t="inlineStr">
        <is>
          <t>M</t>
        </is>
      </c>
      <c r="I529" s="17" t="inlineStr">
        <is>
          <t>Métiers &amp; Artisanat</t>
        </is>
      </c>
      <c r="J529" s="18" t="n">
        <v>0</v>
      </c>
      <c r="K529" s="18" t="n">
        <v>1</v>
      </c>
      <c r="L529" s="17" t="inlineStr">
        <is>
          <t>22 636 A</t>
        </is>
      </c>
      <c r="M529" s="17" t="inlineStr">
        <is>
          <t>M MONTARON MOANAURI, JACQUES</t>
        </is>
      </c>
      <c r="N529" s="17" t="inlineStr">
        <is>
          <t>Chef d entreprise</t>
        </is>
      </c>
      <c r="O529" s="18" t="inlineStr">
        <is>
          <t>12346</t>
        </is>
      </c>
    </row>
    <row r="530" ht="20" customHeight="1">
      <c r="A530" s="13" t="inlineStr">
        <is>
          <t>PAEA-CCISM-0529</t>
        </is>
      </c>
      <c r="B530" s="13" t="inlineStr">
        <is>
          <t>958397</t>
        </is>
      </c>
      <c r="C530" s="14" t="inlineStr">
        <is>
          <t>MONTARON TAHITOA</t>
        </is>
      </c>
      <c r="D530" s="14" t="inlineStr">
        <is>
          <t>98711 PAEA</t>
        </is>
      </c>
      <c r="E530" s="14" t="inlineStr">
        <is>
          <t>Patenté (Personne Physique)</t>
        </is>
      </c>
      <c r="F530" s="14" t="inlineStr">
        <is>
          <t>Patenté</t>
        </is>
      </c>
      <c r="G530" s="13" t="inlineStr">
        <is>
          <t>4339Z</t>
        </is>
      </c>
      <c r="H530" s="13" t="inlineStr">
        <is>
          <t>M</t>
        </is>
      </c>
      <c r="I530" s="14" t="inlineStr">
        <is>
          <t>Métiers &amp; Artisanat</t>
        </is>
      </c>
      <c r="J530" s="15" t="n">
        <v>0</v>
      </c>
      <c r="K530" s="15" t="n">
        <v>1</v>
      </c>
      <c r="L530" s="14" t="inlineStr">
        <is>
          <t>15 2129 A</t>
        </is>
      </c>
      <c r="M530" s="14" t="inlineStr">
        <is>
          <t>M MONTARON TAHITOA</t>
        </is>
      </c>
      <c r="N530" s="14" t="inlineStr">
        <is>
          <t>Chef d entreprise</t>
        </is>
      </c>
      <c r="O530" s="15" t="inlineStr">
        <is>
          <t>12347</t>
        </is>
      </c>
    </row>
    <row r="531" ht="20" customHeight="1">
      <c r="A531" s="16" t="inlineStr">
        <is>
          <t>PAEA-CCISM-0530</t>
        </is>
      </c>
      <c r="B531" s="16" t="inlineStr">
        <is>
          <t>953893</t>
        </is>
      </c>
      <c r="C531" s="17" t="inlineStr">
        <is>
          <t>MOSQUEIRA DOMENIC</t>
        </is>
      </c>
      <c r="D531" s="17" t="inlineStr">
        <is>
          <t>PAEA PK 22.500 C/MER 98711 PAEA</t>
        </is>
      </c>
      <c r="E531" s="17" t="inlineStr">
        <is>
          <t>Patenté (Personne Physique)</t>
        </is>
      </c>
      <c r="F531" s="17" t="inlineStr">
        <is>
          <t>Patenté</t>
        </is>
      </c>
      <c r="G531" s="16" t="inlineStr">
        <is>
          <t>7420Z</t>
        </is>
      </c>
      <c r="H531" s="16" t="inlineStr">
        <is>
          <t>M</t>
        </is>
      </c>
      <c r="I531" s="17" t="inlineStr">
        <is>
          <t>Métiers &amp; Artisanat</t>
        </is>
      </c>
      <c r="J531" s="18" t="n">
        <v>0</v>
      </c>
      <c r="K531" s="18" t="n">
        <v>1</v>
      </c>
      <c r="L531" s="17" t="inlineStr">
        <is>
          <t>10 1189 A</t>
        </is>
      </c>
      <c r="M531" s="17" t="inlineStr">
        <is>
          <t>M MOSQUEIRA DOMENIC</t>
        </is>
      </c>
      <c r="N531" s="17" t="inlineStr">
        <is>
          <t>Chef d entreprise</t>
        </is>
      </c>
      <c r="O531" s="18" t="inlineStr">
        <is>
          <t>12385</t>
        </is>
      </c>
    </row>
    <row r="532" ht="20" customHeight="1">
      <c r="A532" s="13" t="inlineStr">
        <is>
          <t>PAEA-CCISM-0531</t>
        </is>
      </c>
      <c r="B532" s="13" t="inlineStr">
        <is>
          <t>A38015</t>
        </is>
      </c>
      <c r="C532" s="14" t="inlineStr">
        <is>
          <t>MOU MILLIE TEHINA</t>
        </is>
      </c>
      <c r="D532" s="14" t="inlineStr">
        <is>
          <t>PAEA PK 20 C/MONT - TAPUTUARAI 98711 PAEA</t>
        </is>
      </c>
      <c r="E532" s="14" t="inlineStr">
        <is>
          <t>Patenté (Personne Physique)</t>
        </is>
      </c>
      <c r="F532" s="14" t="inlineStr">
        <is>
          <t>Patenté</t>
        </is>
      </c>
      <c r="G532" s="13" t="inlineStr">
        <is>
          <t>9602B</t>
        </is>
      </c>
      <c r="H532" s="13" t="inlineStr">
        <is>
          <t>M</t>
        </is>
      </c>
      <c r="I532" s="14" t="inlineStr">
        <is>
          <t>Métiers &amp; Artisanat</t>
        </is>
      </c>
      <c r="J532" s="15" t="n">
        <v>0</v>
      </c>
      <c r="K532" s="15" t="n">
        <v>1</v>
      </c>
      <c r="L532" s="14" t="inlineStr">
        <is>
          <t>12 1469 A</t>
        </is>
      </c>
      <c r="M532" s="14" t="inlineStr">
        <is>
          <t>Mme MOU MILLIE TEHINA</t>
        </is>
      </c>
      <c r="N532" s="14" t="inlineStr">
        <is>
          <t>Chef d entreprise</t>
        </is>
      </c>
      <c r="O532" s="15" t="inlineStr">
        <is>
          <t>12411</t>
        </is>
      </c>
    </row>
    <row r="533" ht="20" customHeight="1">
      <c r="A533" s="16" t="inlineStr">
        <is>
          <t>PAEA-CCISM-0532</t>
        </is>
      </c>
      <c r="B533" s="16" t="inlineStr">
        <is>
          <t>C74834</t>
        </is>
      </c>
      <c r="C533" s="17" t="inlineStr">
        <is>
          <t>MOU THAM NEE TATARATA GARAGI, TAUTURU</t>
        </is>
      </c>
      <c r="D533" s="17" t="inlineStr">
        <is>
          <t>QUARTOER A'OUA 98711 PAEA</t>
        </is>
      </c>
      <c r="E533" s="17" t="inlineStr">
        <is>
          <t>Patenté (Personne Physique)</t>
        </is>
      </c>
      <c r="F533" s="17" t="inlineStr">
        <is>
          <t>Patenté</t>
        </is>
      </c>
      <c r="G533" s="16" t="inlineStr">
        <is>
          <t>1071D</t>
        </is>
      </c>
      <c r="H533" s="16" t="inlineStr">
        <is>
          <t>M</t>
        </is>
      </c>
      <c r="I533" s="17" t="inlineStr">
        <is>
          <t>Métiers &amp; Artisanat</t>
        </is>
      </c>
      <c r="J533" s="18" t="n">
        <v>0</v>
      </c>
      <c r="K533" s="18" t="n">
        <v>1</v>
      </c>
      <c r="L533" s="17" t="inlineStr">
        <is>
          <t>24 940 A</t>
        </is>
      </c>
      <c r="M533" s="17" t="inlineStr">
        <is>
          <t>Mme MOU THAM (Née TATARATA) GARAGI, TAUTURU</t>
        </is>
      </c>
      <c r="N533" s="17" t="inlineStr">
        <is>
          <t>Chef d entreprise</t>
        </is>
      </c>
      <c r="O533" s="18" t="inlineStr">
        <is>
          <t>12416</t>
        </is>
      </c>
    </row>
    <row r="534" ht="20" customHeight="1">
      <c r="A534" s="13" t="inlineStr">
        <is>
          <t>PAEA-CCISM-0533</t>
        </is>
      </c>
      <c r="B534" s="13" t="inlineStr">
        <is>
          <t>B49754</t>
        </is>
      </c>
      <c r="C534" s="14" t="inlineStr">
        <is>
          <t>MOU-SING NEE TERIITAUMIHAU JOSIANE TEUMERE</t>
        </is>
      </c>
      <c r="D534" s="14" t="inlineStr">
        <is>
          <t>GROTTE DE MARA'A 98711 PAEA</t>
        </is>
      </c>
      <c r="E534" s="14" t="inlineStr">
        <is>
          <t>Patenté (Personne Physique)</t>
        </is>
      </c>
      <c r="F534" s="14" t="inlineStr">
        <is>
          <t>Patenté</t>
        </is>
      </c>
      <c r="G534" s="13" t="inlineStr">
        <is>
          <t>8121Z</t>
        </is>
      </c>
      <c r="H534" s="13" t="inlineStr">
        <is>
          <t>M</t>
        </is>
      </c>
      <c r="I534" s="14" t="inlineStr">
        <is>
          <t>Métiers &amp; Artisanat</t>
        </is>
      </c>
      <c r="J534" s="15" t="n">
        <v>0</v>
      </c>
      <c r="K534" s="15" t="n">
        <v>1</v>
      </c>
      <c r="L534" s="14" t="inlineStr">
        <is>
          <t>15 1143 A</t>
        </is>
      </c>
      <c r="M534" s="14" t="inlineStr">
        <is>
          <t>Mme MOU-SING (Née TERIITAUMIHAU) JOSIANE TEUMERE</t>
        </is>
      </c>
      <c r="N534" s="14" t="inlineStr">
        <is>
          <t>Chef d entreprise</t>
        </is>
      </c>
      <c r="O534" s="15" t="inlineStr">
        <is>
          <t>12439</t>
        </is>
      </c>
    </row>
    <row r="535" ht="20" customHeight="1">
      <c r="A535" s="16" t="inlineStr">
        <is>
          <t>PAEA-CCISM-0534</t>
        </is>
      </c>
      <c r="B535" s="16" t="inlineStr">
        <is>
          <t>428672</t>
        </is>
      </c>
      <c r="C535" s="17" t="inlineStr">
        <is>
          <t>MU SAN</t>
        </is>
      </c>
      <c r="D535" s="17" t="inlineStr">
        <is>
          <t>PAEA PK 23.8 C/MONT - LOTISS CHAPMAN N 98711 PAEA</t>
        </is>
      </c>
      <c r="E535" s="17" t="inlineStr">
        <is>
          <t>Patenté (Personne Physique)</t>
        </is>
      </c>
      <c r="F535" s="17" t="inlineStr">
        <is>
          <t>Patenté</t>
        </is>
      </c>
      <c r="G535" s="16" t="inlineStr">
        <is>
          <t>1020Z</t>
        </is>
      </c>
      <c r="H535" s="16" t="inlineStr">
        <is>
          <t>M</t>
        </is>
      </c>
      <c r="I535" s="17" t="inlineStr">
        <is>
          <t>Métiers &amp; Artisanat</t>
        </is>
      </c>
      <c r="J535" s="18" t="n">
        <v>0</v>
      </c>
      <c r="K535" s="18" t="n">
        <v>1</v>
      </c>
      <c r="L535" s="17" t="inlineStr"/>
      <c r="M535" s="17" t="inlineStr">
        <is>
          <t>29372 A</t>
        </is>
      </c>
      <c r="N535" s="17" t="inlineStr"/>
      <c r="O535" s="18" t="inlineStr"/>
    </row>
    <row r="536" ht="20" customHeight="1">
      <c r="A536" s="13" t="inlineStr">
        <is>
          <t>PAEA-CCISM-0535</t>
        </is>
      </c>
      <c r="B536" s="13" t="inlineStr">
        <is>
          <t>E47322</t>
        </is>
      </c>
      <c r="C536" s="14" t="inlineStr">
        <is>
          <t>MUSSET MATHIAS</t>
        </is>
      </c>
      <c r="D536" s="14" t="inlineStr">
        <is>
          <t>AV. LA GROTTE BORD DE ROUTE 98711 PAEA</t>
        </is>
      </c>
      <c r="E536" s="14" t="inlineStr">
        <is>
          <t>Patenté (Personne Physique)</t>
        </is>
      </c>
      <c r="F536" s="14" t="inlineStr">
        <is>
          <t>Patenté</t>
        </is>
      </c>
      <c r="G536" s="13" t="inlineStr">
        <is>
          <t>4391B</t>
        </is>
      </c>
      <c r="H536" s="13" t="inlineStr">
        <is>
          <t>M</t>
        </is>
      </c>
      <c r="I536" s="14" t="inlineStr">
        <is>
          <t>Métiers &amp; Artisanat</t>
        </is>
      </c>
      <c r="J536" s="15" t="n">
        <v>0</v>
      </c>
      <c r="K536" s="15" t="n">
        <v>1</v>
      </c>
      <c r="L536" s="14" t="inlineStr">
        <is>
          <t>21 2690 A</t>
        </is>
      </c>
      <c r="M536" s="14" t="inlineStr">
        <is>
          <t>M MUSSET MATHIAS</t>
        </is>
      </c>
      <c r="N536" s="14" t="inlineStr">
        <is>
          <t>Chef d entreprise</t>
        </is>
      </c>
      <c r="O536" s="15" t="inlineStr">
        <is>
          <t>12479</t>
        </is>
      </c>
    </row>
    <row r="537" ht="20" customHeight="1">
      <c r="A537" s="16" t="inlineStr">
        <is>
          <t>PAEA-CCISM-0536</t>
        </is>
      </c>
      <c r="B537" s="16" t="inlineStr">
        <is>
          <t>D86299</t>
        </is>
      </c>
      <c r="C537" s="17" t="inlineStr">
        <is>
          <t>NAEHU HEIMATA</t>
        </is>
      </c>
      <c r="D537" s="17" t="inlineStr">
        <is>
          <t>PK 21.100 C/MONT 98711 PAEA</t>
        </is>
      </c>
      <c r="E537" s="17" t="inlineStr">
        <is>
          <t>Patenté (Personne Physique)</t>
        </is>
      </c>
      <c r="F537" s="17" t="inlineStr">
        <is>
          <t>Patenté</t>
        </is>
      </c>
      <c r="G537" s="16" t="inlineStr">
        <is>
          <t>4339Z</t>
        </is>
      </c>
      <c r="H537" s="16" t="inlineStr">
        <is>
          <t>M</t>
        </is>
      </c>
      <c r="I537" s="17" t="inlineStr">
        <is>
          <t>Métiers &amp; Artisanat</t>
        </is>
      </c>
      <c r="J537" s="18" t="n">
        <v>0</v>
      </c>
      <c r="K537" s="18" t="n">
        <v>1</v>
      </c>
      <c r="L537" s="17" t="inlineStr">
        <is>
          <t>20 1761 A</t>
        </is>
      </c>
      <c r="M537" s="17" t="inlineStr">
        <is>
          <t>M NAEHU HEIMATA</t>
        </is>
      </c>
      <c r="N537" s="17" t="inlineStr">
        <is>
          <t>Chef d entreprise</t>
        </is>
      </c>
      <c r="O537" s="18" t="inlineStr">
        <is>
          <t>12490</t>
        </is>
      </c>
    </row>
    <row r="538" ht="20" customHeight="1">
      <c r="A538" s="13" t="inlineStr">
        <is>
          <t>PAEA-CCISM-0537</t>
        </is>
      </c>
      <c r="B538" s="13" t="inlineStr">
        <is>
          <t>F04362</t>
        </is>
      </c>
      <c r="C538" s="14" t="inlineStr">
        <is>
          <t>NANUA RICKY TEMATUA</t>
        </is>
      </c>
      <c r="D538" s="14" t="inlineStr">
        <is>
          <t>SERVITUDE TEMAREIOA 3E A DOITE N°8 98711 PAEA</t>
        </is>
      </c>
      <c r="E538" s="14" t="inlineStr">
        <is>
          <t>Patenté (Personne Physique)</t>
        </is>
      </c>
      <c r="F538" s="14" t="inlineStr">
        <is>
          <t>Patenté</t>
        </is>
      </c>
      <c r="G538" s="13" t="inlineStr">
        <is>
          <t>8130Z</t>
        </is>
      </c>
      <c r="H538" s="13" t="inlineStr">
        <is>
          <t>M</t>
        </is>
      </c>
      <c r="I538" s="14" t="inlineStr">
        <is>
          <t>Métiers &amp; Artisanat</t>
        </is>
      </c>
      <c r="J538" s="15" t="n">
        <v>0</v>
      </c>
      <c r="K538" s="15" t="n">
        <v>1</v>
      </c>
      <c r="L538" s="14" t="inlineStr">
        <is>
          <t>22 3103 A</t>
        </is>
      </c>
      <c r="M538" s="14" t="inlineStr">
        <is>
          <t>M NANUA RICKY TEMATUA</t>
        </is>
      </c>
      <c r="N538" s="14" t="inlineStr">
        <is>
          <t>Chef d entreprise</t>
        </is>
      </c>
      <c r="O538" s="15" t="inlineStr">
        <is>
          <t>12504</t>
        </is>
      </c>
    </row>
    <row r="539" ht="20" customHeight="1">
      <c r="A539" s="16" t="inlineStr">
        <is>
          <t>PAEA-CCISM-0538</t>
        </is>
      </c>
      <c r="B539" s="16" t="inlineStr">
        <is>
          <t>F00550</t>
        </is>
      </c>
      <c r="C539" s="17" t="inlineStr">
        <is>
          <t>NANUA ROBBY</t>
        </is>
      </c>
      <c r="D539" s="17" t="inlineStr">
        <is>
          <t>PK 22.100 C/MER SERV TEMAREIOA N°8 98711 PAEA</t>
        </is>
      </c>
      <c r="E539" s="17" t="inlineStr">
        <is>
          <t>Patenté (Personne Physique)</t>
        </is>
      </c>
      <c r="F539" s="17" t="inlineStr">
        <is>
          <t>Patenté</t>
        </is>
      </c>
      <c r="G539" s="16" t="inlineStr">
        <is>
          <t>8130Z</t>
        </is>
      </c>
      <c r="H539" s="16" t="inlineStr">
        <is>
          <t>M</t>
        </is>
      </c>
      <c r="I539" s="17" t="inlineStr">
        <is>
          <t>Métiers &amp; Artisanat</t>
        </is>
      </c>
      <c r="J539" s="18" t="n">
        <v>0</v>
      </c>
      <c r="K539" s="18" t="n">
        <v>1</v>
      </c>
      <c r="L539" s="17" t="inlineStr">
        <is>
          <t>22 2717 A</t>
        </is>
      </c>
      <c r="M539" s="17" t="inlineStr">
        <is>
          <t>M NANUA ROBBY</t>
        </is>
      </c>
      <c r="N539" s="17" t="inlineStr">
        <is>
          <t>Chef d entreprise</t>
        </is>
      </c>
      <c r="O539" s="18" t="inlineStr">
        <is>
          <t>12505</t>
        </is>
      </c>
    </row>
    <row r="540" ht="20" customHeight="1">
      <c r="A540" s="13" t="inlineStr">
        <is>
          <t>PAEA-CCISM-0539</t>
        </is>
      </c>
      <c r="B540" s="13" t="inlineStr">
        <is>
          <t>679530</t>
        </is>
      </c>
      <c r="C540" s="14" t="inlineStr">
        <is>
          <t>NARAS STEPHANE</t>
        </is>
      </c>
      <c r="D540" s="14" t="inlineStr">
        <is>
          <t>98711 PAEA</t>
        </is>
      </c>
      <c r="E540" s="14" t="inlineStr">
        <is>
          <t>Patenté (Personne Physique)</t>
        </is>
      </c>
      <c r="F540" s="14" t="inlineStr">
        <is>
          <t>Patenté</t>
        </is>
      </c>
      <c r="G540" s="13" t="inlineStr">
        <is>
          <t>4332A</t>
        </is>
      </c>
      <c r="H540" s="13" t="inlineStr">
        <is>
          <t>M</t>
        </is>
      </c>
      <c r="I540" s="14" t="inlineStr">
        <is>
          <t>Métiers &amp; Artisanat</t>
        </is>
      </c>
      <c r="J540" s="15" t="n">
        <v>2</v>
      </c>
      <c r="K540" s="15" t="n">
        <v>1</v>
      </c>
      <c r="L540" s="14" t="inlineStr">
        <is>
          <t>18 2536 A</t>
        </is>
      </c>
      <c r="M540" s="14" t="inlineStr">
        <is>
          <t>M NARAS STEPHANE</t>
        </is>
      </c>
      <c r="N540" s="14" t="inlineStr">
        <is>
          <t>Chef d entreprise</t>
        </is>
      </c>
      <c r="O540" s="15" t="inlineStr">
        <is>
          <t>12520</t>
        </is>
      </c>
    </row>
    <row r="541" ht="20" customHeight="1">
      <c r="A541" s="16" t="inlineStr">
        <is>
          <t>PAEA-CCISM-0540</t>
        </is>
      </c>
      <c r="B541" s="16" t="inlineStr">
        <is>
          <t>586891</t>
        </is>
      </c>
      <c r="C541" s="17" t="inlineStr">
        <is>
          <t>NAU ESITOLO</t>
        </is>
      </c>
      <c r="D541" s="17" t="inlineStr">
        <is>
          <t>PAEA PK 21.100 C/MONT 98711 PAEA</t>
        </is>
      </c>
      <c r="E541" s="17" t="inlineStr">
        <is>
          <t>Patenté (Personne Physique)</t>
        </is>
      </c>
      <c r="F541" s="17" t="inlineStr">
        <is>
          <t>Patenté</t>
        </is>
      </c>
      <c r="G541" s="16" t="inlineStr">
        <is>
          <t>4339Z</t>
        </is>
      </c>
      <c r="H541" s="16" t="inlineStr">
        <is>
          <t>M</t>
        </is>
      </c>
      <c r="I541" s="17" t="inlineStr">
        <is>
          <t>Métiers &amp; Artisanat</t>
        </is>
      </c>
      <c r="J541" s="18" t="n">
        <v>0</v>
      </c>
      <c r="K541" s="18" t="n">
        <v>1</v>
      </c>
      <c r="L541" s="17" t="inlineStr">
        <is>
          <t>38863 A</t>
        </is>
      </c>
      <c r="M541" s="17" t="inlineStr">
        <is>
          <t>M NAU ESITOLO</t>
        </is>
      </c>
      <c r="N541" s="17" t="inlineStr">
        <is>
          <t>Chef d entreprise</t>
        </is>
      </c>
      <c r="O541" s="18" t="inlineStr">
        <is>
          <t>12542</t>
        </is>
      </c>
    </row>
    <row r="542" ht="20" customHeight="1">
      <c r="A542" s="13" t="inlineStr">
        <is>
          <t>PAEA-CCISM-0541</t>
        </is>
      </c>
      <c r="B542" s="13" t="inlineStr">
        <is>
          <t>355701</t>
        </is>
      </c>
      <c r="C542" s="14" t="inlineStr">
        <is>
          <t>NAVIEZ PATRICE NICOLAS</t>
        </is>
      </c>
      <c r="D542" s="14" t="inlineStr">
        <is>
          <t>98711 PAEA</t>
        </is>
      </c>
      <c r="E542" s="14" t="inlineStr">
        <is>
          <t>Patenté (Personne Physique)</t>
        </is>
      </c>
      <c r="F542" s="14" t="inlineStr">
        <is>
          <t>Patenté</t>
        </is>
      </c>
      <c r="G542" s="13" t="inlineStr">
        <is>
          <t>4339Z</t>
        </is>
      </c>
      <c r="H542" s="13" t="inlineStr">
        <is>
          <t>M</t>
        </is>
      </c>
      <c r="I542" s="14" t="inlineStr">
        <is>
          <t>Métiers &amp; Artisanat</t>
        </is>
      </c>
      <c r="J542" s="15" t="n">
        <v>0</v>
      </c>
      <c r="K542" s="15" t="n">
        <v>1</v>
      </c>
      <c r="L542" s="14" t="inlineStr">
        <is>
          <t>19 2476 A</t>
        </is>
      </c>
      <c r="M542" s="14" t="inlineStr">
        <is>
          <t>M NAVIEZ PATRICE NICOLAS</t>
        </is>
      </c>
      <c r="N542" s="14" t="inlineStr">
        <is>
          <t>Chef d entreprise</t>
        </is>
      </c>
      <c r="O542" s="15" t="inlineStr">
        <is>
          <t>12559</t>
        </is>
      </c>
    </row>
    <row r="543" ht="20" customHeight="1">
      <c r="A543" s="16" t="inlineStr">
        <is>
          <t>PAEA-CCISM-0542</t>
        </is>
      </c>
      <c r="B543" s="16" t="inlineStr">
        <is>
          <t>D27921</t>
        </is>
      </c>
      <c r="C543" s="17" t="inlineStr">
        <is>
          <t>NEAGLE AMELIE NENA</t>
        </is>
      </c>
      <c r="D543" s="17" t="inlineStr">
        <is>
          <t>98711 PAEA</t>
        </is>
      </c>
      <c r="E543" s="17" t="inlineStr">
        <is>
          <t>Patenté (Personne Physique)</t>
        </is>
      </c>
      <c r="F543" s="17" t="inlineStr">
        <is>
          <t>Patenté</t>
        </is>
      </c>
      <c r="G543" s="16" t="inlineStr">
        <is>
          <t>8130Z</t>
        </is>
      </c>
      <c r="H543" s="16" t="inlineStr">
        <is>
          <t>M</t>
        </is>
      </c>
      <c r="I543" s="17" t="inlineStr">
        <is>
          <t>Métiers &amp; Artisanat</t>
        </is>
      </c>
      <c r="J543" s="18" t="n">
        <v>0</v>
      </c>
      <c r="K543" s="18" t="n">
        <v>1</v>
      </c>
      <c r="L543" s="17" t="inlineStr">
        <is>
          <t>19 1505 A</t>
        </is>
      </c>
      <c r="M543" s="17" t="inlineStr">
        <is>
          <t>Mme NEAGLE AMELIE NENA</t>
        </is>
      </c>
      <c r="N543" s="17" t="inlineStr">
        <is>
          <t>Chef d entreprise</t>
        </is>
      </c>
      <c r="O543" s="18" t="inlineStr">
        <is>
          <t>12563</t>
        </is>
      </c>
    </row>
    <row r="544" ht="20" customHeight="1">
      <c r="A544" s="13" t="inlineStr">
        <is>
          <t>PAEA-CCISM-0543</t>
        </is>
      </c>
      <c r="B544" s="13" t="inlineStr">
        <is>
          <t>456780</t>
        </is>
      </c>
      <c r="C544" s="14" t="inlineStr">
        <is>
          <t>NICOLAS NEE HAUATA HINA</t>
        </is>
      </c>
      <c r="D544" s="14" t="inlineStr">
        <is>
          <t>QTR LEHARTEL 98711 PAEA</t>
        </is>
      </c>
      <c r="E544" s="14" t="inlineStr">
        <is>
          <t>Patenté (Personne Physique)</t>
        </is>
      </c>
      <c r="F544" s="14" t="inlineStr">
        <is>
          <t>Patenté</t>
        </is>
      </c>
      <c r="G544" s="13" t="inlineStr">
        <is>
          <t>8130Z</t>
        </is>
      </c>
      <c r="H544" s="13" t="inlineStr">
        <is>
          <t>M</t>
        </is>
      </c>
      <c r="I544" s="14" t="inlineStr">
        <is>
          <t>Métiers &amp; Artisanat</t>
        </is>
      </c>
      <c r="J544" s="15" t="n">
        <v>0</v>
      </c>
      <c r="K544" s="15" t="n">
        <v>1</v>
      </c>
      <c r="L544" s="14" t="inlineStr">
        <is>
          <t>19 547 A</t>
        </is>
      </c>
      <c r="M544" s="14" t="inlineStr">
        <is>
          <t>Mme NICOLAS (Née HAUATA) HINA</t>
        </is>
      </c>
      <c r="N544" s="14" t="inlineStr">
        <is>
          <t>Chef d entreprise</t>
        </is>
      </c>
      <c r="O544" s="15" t="inlineStr">
        <is>
          <t>12606</t>
        </is>
      </c>
    </row>
    <row r="545" ht="20" customHeight="1">
      <c r="A545" s="16" t="inlineStr">
        <is>
          <t>PAEA-CCISM-0544</t>
        </is>
      </c>
      <c r="B545" s="16" t="inlineStr">
        <is>
          <t>194795</t>
        </is>
      </c>
      <c r="C545" s="17" t="inlineStr">
        <is>
          <t>NIUHINA EMMANUEL</t>
        </is>
      </c>
      <c r="D545" s="17" t="inlineStr">
        <is>
          <t>PAEA PK 23.8 C/MONT 98711 PAEA</t>
        </is>
      </c>
      <c r="E545" s="17" t="inlineStr">
        <is>
          <t>Patenté (Personne Physique)</t>
        </is>
      </c>
      <c r="F545" s="17" t="inlineStr">
        <is>
          <t>Patenté</t>
        </is>
      </c>
      <c r="G545" s="16" t="inlineStr">
        <is>
          <t>4339Z</t>
        </is>
      </c>
      <c r="H545" s="16" t="inlineStr">
        <is>
          <t>M</t>
        </is>
      </c>
      <c r="I545" s="17" t="inlineStr">
        <is>
          <t>Métiers &amp; Artisanat</t>
        </is>
      </c>
      <c r="J545" s="18" t="n">
        <v>0</v>
      </c>
      <c r="K545" s="18" t="n">
        <v>1</v>
      </c>
      <c r="L545" s="17" t="inlineStr">
        <is>
          <t>32769 A</t>
        </is>
      </c>
      <c r="M545" s="17" t="inlineStr">
        <is>
          <t>M NIUHINA EMMANUEL</t>
        </is>
      </c>
      <c r="N545" s="17" t="inlineStr">
        <is>
          <t>Chef d entreprise</t>
        </is>
      </c>
      <c r="O545" s="18" t="inlineStr">
        <is>
          <t>12616</t>
        </is>
      </c>
    </row>
    <row r="546" ht="20" customHeight="1">
      <c r="A546" s="13" t="inlineStr">
        <is>
          <t>PAEA-CCISM-0545</t>
        </is>
      </c>
      <c r="B546" s="13" t="inlineStr">
        <is>
          <t>E40988</t>
        </is>
      </c>
      <c r="C546" s="14" t="inlineStr">
        <is>
          <t>NOA</t>
        </is>
      </c>
      <c r="D546" s="14" t="inlineStr">
        <is>
          <t>RTE LOTISSEMENT BOURNE RÉSIDENCE BOURNE LOT N° 7 98711 PAEA</t>
        </is>
      </c>
      <c r="E546" s="14" t="inlineStr">
        <is>
          <t>SARL</t>
        </is>
      </c>
      <c r="F546" s="14" t="inlineStr">
        <is>
          <t>Société</t>
        </is>
      </c>
      <c r="G546" s="13" t="inlineStr">
        <is>
          <t>4724Z</t>
        </is>
      </c>
      <c r="H546" s="13" t="inlineStr">
        <is>
          <t>M</t>
        </is>
      </c>
      <c r="I546" s="14" t="inlineStr">
        <is>
          <t>Métiers &amp; Artisanat</t>
        </is>
      </c>
      <c r="J546" s="15" t="n">
        <v>0</v>
      </c>
      <c r="K546" s="15" t="n">
        <v>1</v>
      </c>
      <c r="L546" s="14" t="inlineStr">
        <is>
          <t>21 241 B</t>
        </is>
      </c>
      <c r="M546" s="14" t="inlineStr">
        <is>
          <t>Mme CONTIOS HEIMATAIKI</t>
        </is>
      </c>
      <c r="N546" s="14" t="inlineStr">
        <is>
          <t>Gérant</t>
        </is>
      </c>
      <c r="O546" s="15" t="inlineStr">
        <is>
          <t>12623</t>
        </is>
      </c>
    </row>
    <row r="547" ht="20" customHeight="1">
      <c r="A547" s="16" t="inlineStr">
        <is>
          <t>PAEA-CCISM-0546</t>
        </is>
      </c>
      <c r="B547" s="16" t="inlineStr">
        <is>
          <t>827691</t>
        </is>
      </c>
      <c r="C547" s="17" t="inlineStr">
        <is>
          <t>NOHO DAVID HAUROA</t>
        </is>
      </c>
      <c r="D547" s="17" t="inlineStr">
        <is>
          <t>QUARTIER PANAI 98711 PAEA</t>
        </is>
      </c>
      <c r="E547" s="17" t="inlineStr">
        <is>
          <t>Patenté (Personne Physique)</t>
        </is>
      </c>
      <c r="F547" s="17" t="inlineStr">
        <is>
          <t>Patenté</t>
        </is>
      </c>
      <c r="G547" s="16" t="inlineStr">
        <is>
          <t>4333Z</t>
        </is>
      </c>
      <c r="H547" s="16" t="inlineStr">
        <is>
          <t>M</t>
        </is>
      </c>
      <c r="I547" s="17" t="inlineStr">
        <is>
          <t>Métiers &amp; Artisanat</t>
        </is>
      </c>
      <c r="J547" s="18" t="n">
        <v>0</v>
      </c>
      <c r="K547" s="18" t="n">
        <v>1</v>
      </c>
      <c r="L547" s="17" t="inlineStr">
        <is>
          <t>24 2175 A</t>
        </is>
      </c>
      <c r="M547" s="17" t="inlineStr">
        <is>
          <t>M NOHO DAVID HAUROA</t>
        </is>
      </c>
      <c r="N547" s="17" t="inlineStr">
        <is>
          <t>Chef d entreprise</t>
        </is>
      </c>
      <c r="O547" s="18" t="inlineStr">
        <is>
          <t>12634</t>
        </is>
      </c>
    </row>
    <row r="548" ht="20" customHeight="1">
      <c r="A548" s="13" t="inlineStr">
        <is>
          <t>PAEA-CCISM-0547</t>
        </is>
      </c>
      <c r="B548" s="13" t="inlineStr">
        <is>
          <t>E83608</t>
        </is>
      </c>
      <c r="C548" s="14" t="inlineStr">
        <is>
          <t>NORESMAT GEORGES</t>
        </is>
      </c>
      <c r="D548" s="14" t="inlineStr">
        <is>
          <t>98711 PAEA</t>
        </is>
      </c>
      <c r="E548" s="14" t="inlineStr">
        <is>
          <t>Patenté (Personne Physique)</t>
        </is>
      </c>
      <c r="F548" s="14" t="inlineStr">
        <is>
          <t>Patenté</t>
        </is>
      </c>
      <c r="G548" s="13" t="inlineStr">
        <is>
          <t>4339Z</t>
        </is>
      </c>
      <c r="H548" s="13" t="inlineStr">
        <is>
          <t>M</t>
        </is>
      </c>
      <c r="I548" s="14" t="inlineStr">
        <is>
          <t>Métiers &amp; Artisanat</t>
        </is>
      </c>
      <c r="J548" s="15" t="n">
        <v>0</v>
      </c>
      <c r="K548" s="15" t="n">
        <v>1</v>
      </c>
      <c r="L548" s="14" t="inlineStr">
        <is>
          <t>22 1596 A</t>
        </is>
      </c>
      <c r="M548" s="14" t="inlineStr">
        <is>
          <t>M NORESMAT GEORGES</t>
        </is>
      </c>
      <c r="N548" s="14" t="inlineStr">
        <is>
          <t>Chef d entreprise</t>
        </is>
      </c>
      <c r="O548" s="15" t="inlineStr">
        <is>
          <t>12652</t>
        </is>
      </c>
    </row>
    <row r="549" ht="20" customHeight="1">
      <c r="A549" s="16" t="inlineStr">
        <is>
          <t>PAEA-CCISM-0548</t>
        </is>
      </c>
      <c r="B549" s="16" t="inlineStr">
        <is>
          <t>E56018</t>
        </is>
      </c>
      <c r="C549" s="17" t="inlineStr">
        <is>
          <t>'OA'OA GARDEN</t>
        </is>
      </c>
      <c r="D549" s="17" t="inlineStr">
        <is>
          <t>RTE DU BASSIN PAPEHUE 2E AV. HECTOR A DROITE 98711 PAEA</t>
        </is>
      </c>
      <c r="E549" s="17" t="inlineStr">
        <is>
          <t>SARL</t>
        </is>
      </c>
      <c r="F549" s="17" t="inlineStr">
        <is>
          <t>Société</t>
        </is>
      </c>
      <c r="G549" s="16" t="inlineStr">
        <is>
          <t>8130Z</t>
        </is>
      </c>
      <c r="H549" s="16" t="inlineStr">
        <is>
          <t>M</t>
        </is>
      </c>
      <c r="I549" s="17" t="inlineStr">
        <is>
          <t>Métiers &amp; Artisanat</t>
        </is>
      </c>
      <c r="J549" s="18" t="n">
        <v>0</v>
      </c>
      <c r="K549" s="18" t="n">
        <v>1</v>
      </c>
      <c r="L549" s="17" t="inlineStr">
        <is>
          <t>21 442 B</t>
        </is>
      </c>
      <c r="M549" s="17" t="inlineStr">
        <is>
          <t>M ROBSON MARURAI JACQUES</t>
        </is>
      </c>
      <c r="N549" s="17" t="inlineStr">
        <is>
          <t>Gérant</t>
        </is>
      </c>
      <c r="O549" s="18" t="inlineStr">
        <is>
          <t>12675</t>
        </is>
      </c>
    </row>
    <row r="550" ht="20" customHeight="1">
      <c r="A550" s="13" t="inlineStr">
        <is>
          <t>PAEA-CCISM-0549</t>
        </is>
      </c>
      <c r="B550" s="13" t="inlineStr">
        <is>
          <t>A87467</t>
        </is>
      </c>
      <c r="C550" s="14" t="inlineStr">
        <is>
          <t>O'CONNOR LOANI MAITI</t>
        </is>
      </c>
      <c r="D550" s="14" t="inlineStr">
        <is>
          <t>QUA FULLER 98711 PAEA</t>
        </is>
      </c>
      <c r="E550" s="14" t="inlineStr">
        <is>
          <t>Patenté (Personne Physique)</t>
        </is>
      </c>
      <c r="F550" s="14" t="inlineStr">
        <is>
          <t>Patenté</t>
        </is>
      </c>
      <c r="G550" s="13" t="inlineStr">
        <is>
          <t>8121Z</t>
        </is>
      </c>
      <c r="H550" s="13" t="inlineStr">
        <is>
          <t>M</t>
        </is>
      </c>
      <c r="I550" s="14" t="inlineStr">
        <is>
          <t>Métiers &amp; Artisanat</t>
        </is>
      </c>
      <c r="J550" s="15" t="n">
        <v>0</v>
      </c>
      <c r="K550" s="15" t="n">
        <v>1</v>
      </c>
      <c r="L550" s="14" t="inlineStr">
        <is>
          <t>20 1807 A</t>
        </is>
      </c>
      <c r="M550" s="14" t="inlineStr">
        <is>
          <t>Mme O'CONNOR LOANI MAITI</t>
        </is>
      </c>
      <c r="N550" s="14" t="inlineStr">
        <is>
          <t>Chef d entreprise</t>
        </is>
      </c>
      <c r="O550" s="15" t="inlineStr">
        <is>
          <t>12684</t>
        </is>
      </c>
    </row>
    <row r="551" ht="20" customHeight="1">
      <c r="A551" s="16" t="inlineStr">
        <is>
          <t>PAEA-CCISM-0550</t>
        </is>
      </c>
      <c r="B551" s="16" t="inlineStr">
        <is>
          <t>783621</t>
        </is>
      </c>
      <c r="C551" s="17" t="inlineStr">
        <is>
          <t>ONEE MAEA</t>
        </is>
      </c>
      <c r="D551" s="17" t="inlineStr">
        <is>
          <t>PAEA PK 19.300 C/MONT - SALMON 98711 PAEA</t>
        </is>
      </c>
      <c r="E551" s="17" t="inlineStr">
        <is>
          <t>Patenté (Personne Physique)</t>
        </is>
      </c>
      <c r="F551" s="17" t="inlineStr">
        <is>
          <t>Patenté</t>
        </is>
      </c>
      <c r="G551" s="16" t="inlineStr">
        <is>
          <t>9602B</t>
        </is>
      </c>
      <c r="H551" s="16" t="inlineStr">
        <is>
          <t>M</t>
        </is>
      </c>
      <c r="I551" s="17" t="inlineStr">
        <is>
          <t>Métiers &amp; Artisanat</t>
        </is>
      </c>
      <c r="J551" s="18" t="n">
        <v>0</v>
      </c>
      <c r="K551" s="18" t="n">
        <v>1</v>
      </c>
      <c r="L551" s="17" t="inlineStr">
        <is>
          <t>06 980 A</t>
        </is>
      </c>
      <c r="M551" s="17" t="inlineStr">
        <is>
          <t>Mme ONEE MAEA</t>
        </is>
      </c>
      <c r="N551" s="17" t="inlineStr">
        <is>
          <t>Chef d entreprise</t>
        </is>
      </c>
      <c r="O551" s="18" t="inlineStr">
        <is>
          <t>12731</t>
        </is>
      </c>
    </row>
    <row r="552" ht="20" customHeight="1">
      <c r="A552" s="13" t="inlineStr">
        <is>
          <t>PAEA-CCISM-0551</t>
        </is>
      </c>
      <c r="B552" s="13" t="inlineStr">
        <is>
          <t>E26441</t>
        </is>
      </c>
      <c r="C552" s="14" t="inlineStr">
        <is>
          <t>ONEE ROOARII</t>
        </is>
      </c>
      <c r="D552" s="14" t="inlineStr">
        <is>
          <t>RTE RESIDENCE MANAVA N°8 BP 10121 98711 PAEA</t>
        </is>
      </c>
      <c r="E552" s="14" t="inlineStr">
        <is>
          <t>Patenté (Personne Physique)</t>
        </is>
      </c>
      <c r="F552" s="14" t="inlineStr">
        <is>
          <t>Patenté</t>
        </is>
      </c>
      <c r="G552" s="13" t="inlineStr">
        <is>
          <t>3312Z</t>
        </is>
      </c>
      <c r="H552" s="13" t="inlineStr">
        <is>
          <t>M</t>
        </is>
      </c>
      <c r="I552" s="14" t="inlineStr">
        <is>
          <t>Métiers &amp; Artisanat</t>
        </is>
      </c>
      <c r="J552" s="15" t="n">
        <v>0</v>
      </c>
      <c r="K552" s="15" t="n">
        <v>1</v>
      </c>
      <c r="L552" s="14" t="inlineStr">
        <is>
          <t>21 1354 A</t>
        </is>
      </c>
      <c r="M552" s="14" t="inlineStr">
        <is>
          <t>M ONEE ROOARII</t>
        </is>
      </c>
      <c r="N552" s="14" t="inlineStr">
        <is>
          <t>Chef d entreprise</t>
        </is>
      </c>
      <c r="O552" s="15" t="inlineStr">
        <is>
          <t>12732</t>
        </is>
      </c>
    </row>
    <row r="553" ht="20" customHeight="1">
      <c r="A553" s="16" t="inlineStr">
        <is>
          <t>PAEA-CCISM-0552</t>
        </is>
      </c>
      <c r="B553" s="16" t="inlineStr">
        <is>
          <t>303644</t>
        </is>
      </c>
      <c r="C553" s="17" t="inlineStr">
        <is>
          <t>OOPA CHARLEM FERDINAND</t>
        </is>
      </c>
      <c r="D553" s="17" t="inlineStr">
        <is>
          <t>QUARTIER FAANA 98711 PAEA</t>
        </is>
      </c>
      <c r="E553" s="17" t="inlineStr">
        <is>
          <t>Patenté (Personne Physique)</t>
        </is>
      </c>
      <c r="F553" s="17" t="inlineStr">
        <is>
          <t>Patenté</t>
        </is>
      </c>
      <c r="G553" s="16" t="inlineStr">
        <is>
          <t>8130Z</t>
        </is>
      </c>
      <c r="H553" s="16" t="inlineStr">
        <is>
          <t>M</t>
        </is>
      </c>
      <c r="I553" s="17" t="inlineStr">
        <is>
          <t>Métiers &amp; Artisanat</t>
        </is>
      </c>
      <c r="J553" s="18" t="n">
        <v>2</v>
      </c>
      <c r="K553" s="18" t="n">
        <v>1</v>
      </c>
      <c r="L553" s="17" t="inlineStr">
        <is>
          <t>22131 A</t>
        </is>
      </c>
      <c r="M553" s="17" t="inlineStr">
        <is>
          <t>M OOPA CHARLEM</t>
        </is>
      </c>
      <c r="N553" s="17" t="inlineStr">
        <is>
          <t>Chef d entreprise</t>
        </is>
      </c>
      <c r="O553" s="18" t="inlineStr">
        <is>
          <t>12737</t>
        </is>
      </c>
    </row>
    <row r="554" ht="20" customHeight="1">
      <c r="A554" s="13" t="inlineStr">
        <is>
          <t>PAEA-CCISM-0553</t>
        </is>
      </c>
      <c r="B554" s="13" t="inlineStr">
        <is>
          <t>809004</t>
        </is>
      </c>
      <c r="C554" s="14" t="inlineStr">
        <is>
          <t>OPETA LUCIEN METETA</t>
        </is>
      </c>
      <c r="D554" s="14" t="inlineStr">
        <is>
          <t>46 RTE RESIDENCE MAA'IPA 98711 PAEA</t>
        </is>
      </c>
      <c r="E554" s="14" t="inlineStr">
        <is>
          <t>Patenté (Personne Physique)</t>
        </is>
      </c>
      <c r="F554" s="14" t="inlineStr">
        <is>
          <t>Patenté</t>
        </is>
      </c>
      <c r="G554" s="13" t="inlineStr">
        <is>
          <t>4120A</t>
        </is>
      </c>
      <c r="H554" s="13" t="inlineStr">
        <is>
          <t>M</t>
        </is>
      </c>
      <c r="I554" s="14" t="inlineStr">
        <is>
          <t>Métiers &amp; Artisanat</t>
        </is>
      </c>
      <c r="J554" s="15" t="n">
        <v>0</v>
      </c>
      <c r="K554" s="15" t="n">
        <v>1</v>
      </c>
      <c r="L554" s="14" t="inlineStr">
        <is>
          <t>23 1576 A</t>
        </is>
      </c>
      <c r="M554" s="14" t="inlineStr">
        <is>
          <t>M OPETA LUCIEN METETA</t>
        </is>
      </c>
      <c r="N554" s="14" t="inlineStr">
        <is>
          <t>Chef d entreprise</t>
        </is>
      </c>
      <c r="O554" s="15" t="inlineStr">
        <is>
          <t>12740</t>
        </is>
      </c>
    </row>
    <row r="555" ht="20" customHeight="1">
      <c r="A555" s="16" t="inlineStr">
        <is>
          <t>PAEA-CCISM-0554</t>
        </is>
      </c>
      <c r="B555" s="16" t="inlineStr">
        <is>
          <t>975870</t>
        </is>
      </c>
      <c r="C555" s="17" t="inlineStr">
        <is>
          <t>OVELHEIRO ERIC</t>
        </is>
      </c>
      <c r="D555" s="17" t="inlineStr">
        <is>
          <t>RTE LOTISSEMENT BOURNE LOT 25 98711 PAEA</t>
        </is>
      </c>
      <c r="E555" s="17" t="inlineStr">
        <is>
          <t>Patenté (Personne Physique)</t>
        </is>
      </c>
      <c r="F555" s="17" t="inlineStr">
        <is>
          <t>Patenté</t>
        </is>
      </c>
      <c r="G555" s="16" t="inlineStr">
        <is>
          <t>4339Z</t>
        </is>
      </c>
      <c r="H555" s="16" t="inlineStr">
        <is>
          <t>M</t>
        </is>
      </c>
      <c r="I555" s="17" t="inlineStr">
        <is>
          <t>Métiers &amp; Artisanat</t>
        </is>
      </c>
      <c r="J555" s="18" t="n">
        <v>0</v>
      </c>
      <c r="K555" s="18" t="n">
        <v>1</v>
      </c>
      <c r="L555" s="17" t="inlineStr">
        <is>
          <t>18 560 A</t>
        </is>
      </c>
      <c r="M555" s="17" t="inlineStr">
        <is>
          <t>M OVELHEIRO ERIC</t>
        </is>
      </c>
      <c r="N555" s="17" t="inlineStr">
        <is>
          <t>Chef d entreprise</t>
        </is>
      </c>
      <c r="O555" s="18" t="inlineStr">
        <is>
          <t>12823</t>
        </is>
      </c>
    </row>
    <row r="556" ht="20" customHeight="1">
      <c r="A556" s="13" t="inlineStr">
        <is>
          <t>PAEA-CCISM-0555</t>
        </is>
      </c>
      <c r="B556" s="13" t="inlineStr">
        <is>
          <t>D90002</t>
        </is>
      </c>
      <c r="C556" s="14" t="inlineStr">
        <is>
          <t>PAERAI TIMERI</t>
        </is>
      </c>
      <c r="D556" s="14" t="inlineStr">
        <is>
          <t>RTE DE LA VALLEE OROFERO 98711 PAEA</t>
        </is>
      </c>
      <c r="E556" s="14" t="inlineStr">
        <is>
          <t>Patenté (Personne Physique)</t>
        </is>
      </c>
      <c r="F556" s="14" t="inlineStr">
        <is>
          <t>Patenté</t>
        </is>
      </c>
      <c r="G556" s="13" t="inlineStr">
        <is>
          <t>9602B</t>
        </is>
      </c>
      <c r="H556" s="13" t="inlineStr">
        <is>
          <t>M</t>
        </is>
      </c>
      <c r="I556" s="14" t="inlineStr">
        <is>
          <t>Métiers &amp; Artisanat</t>
        </is>
      </c>
      <c r="J556" s="15" t="n">
        <v>0</v>
      </c>
      <c r="K556" s="15" t="n">
        <v>1</v>
      </c>
      <c r="L556" s="14" t="inlineStr">
        <is>
          <t>23 2340 A</t>
        </is>
      </c>
      <c r="M556" s="14" t="inlineStr">
        <is>
          <t>Mme PAERAI TIMERI</t>
        </is>
      </c>
      <c r="N556" s="14" t="inlineStr">
        <is>
          <t>Chef d entreprise</t>
        </is>
      </c>
      <c r="O556" s="15" t="inlineStr">
        <is>
          <t>12867</t>
        </is>
      </c>
    </row>
    <row r="557" ht="20" customHeight="1">
      <c r="A557" s="16" t="inlineStr">
        <is>
          <t>PAEA-CCISM-0556</t>
        </is>
      </c>
      <c r="B557" s="16" t="inlineStr">
        <is>
          <t>A84100</t>
        </is>
      </c>
      <c r="C557" s="17" t="inlineStr">
        <is>
          <t>PAGNUTTI NEE PAITIA HANITUA</t>
        </is>
      </c>
      <c r="D557" s="17" t="inlineStr">
        <is>
          <t>PK 21.3 DERRIERE TEMPLE PROTESTANT BP 10091 98711 PAEA</t>
        </is>
      </c>
      <c r="E557" s="17" t="inlineStr">
        <is>
          <t>Patenté (Personne Physique)</t>
        </is>
      </c>
      <c r="F557" s="17" t="inlineStr">
        <is>
          <t>Patenté</t>
        </is>
      </c>
      <c r="G557" s="16" t="inlineStr">
        <is>
          <t>1413Z</t>
        </is>
      </c>
      <c r="H557" s="16" t="inlineStr">
        <is>
          <t>M</t>
        </is>
      </c>
      <c r="I557" s="17" t="inlineStr">
        <is>
          <t>Métiers &amp; Artisanat</t>
        </is>
      </c>
      <c r="J557" s="18" t="n">
        <v>0</v>
      </c>
      <c r="K557" s="18" t="n">
        <v>1</v>
      </c>
      <c r="L557" s="17" t="inlineStr">
        <is>
          <t>25 1130 A</t>
        </is>
      </c>
      <c r="M557" s="17" t="inlineStr">
        <is>
          <t>Mme PAGNUTTI (Née PAITIA) HANITUA</t>
        </is>
      </c>
      <c r="N557" s="17" t="inlineStr">
        <is>
          <t>Chef d entreprise</t>
        </is>
      </c>
      <c r="O557" s="18" t="inlineStr">
        <is>
          <t>12870</t>
        </is>
      </c>
    </row>
    <row r="558" ht="20" customHeight="1">
      <c r="A558" s="13" t="inlineStr">
        <is>
          <t>PAEA-CCISM-0557</t>
        </is>
      </c>
      <c r="B558" s="13" t="inlineStr">
        <is>
          <t>953554</t>
        </is>
      </c>
      <c r="C558" s="14" t="inlineStr">
        <is>
          <t>PAGNUTTI SILVIO HEIMANU</t>
        </is>
      </c>
      <c r="D558" s="14" t="inlineStr">
        <is>
          <t>PAEA PK 21.400 C/MONT 98711 PAEA</t>
        </is>
      </c>
      <c r="E558" s="14" t="inlineStr">
        <is>
          <t>Patenté (Personne Physique)</t>
        </is>
      </c>
      <c r="F558" s="14" t="inlineStr">
        <is>
          <t>Patenté</t>
        </is>
      </c>
      <c r="G558" s="13" t="inlineStr">
        <is>
          <t>3299Z</t>
        </is>
      </c>
      <c r="H558" s="13" t="inlineStr">
        <is>
          <t>M</t>
        </is>
      </c>
      <c r="I558" s="14" t="inlineStr">
        <is>
          <t>Métiers &amp; Artisanat</t>
        </is>
      </c>
      <c r="J558" s="15" t="n">
        <v>0</v>
      </c>
      <c r="K558" s="15" t="n">
        <v>1</v>
      </c>
      <c r="L558" s="14" t="inlineStr">
        <is>
          <t>10 1176 A</t>
        </is>
      </c>
      <c r="M558" s="14" t="inlineStr">
        <is>
          <t>M PAGNUTTI SILVIO HEIMANU</t>
        </is>
      </c>
      <c r="N558" s="14" t="inlineStr">
        <is>
          <t>Chef d entreprise</t>
        </is>
      </c>
      <c r="O558" s="15" t="inlineStr">
        <is>
          <t>12871</t>
        </is>
      </c>
    </row>
    <row r="559" ht="20" customHeight="1">
      <c r="A559" s="16" t="inlineStr">
        <is>
          <t>PAEA-CCISM-0558</t>
        </is>
      </c>
      <c r="B559" s="16" t="inlineStr">
        <is>
          <t>C45867</t>
        </is>
      </c>
      <c r="C559" s="17" t="inlineStr">
        <is>
          <t>PAHIO ITEARIKI JAMES</t>
        </is>
      </c>
      <c r="D559" s="17" t="inlineStr">
        <is>
          <t>AV. MAG PIERRE - RESIDENCE VAITUPA 98711 PAEA</t>
        </is>
      </c>
      <c r="E559" s="17" t="inlineStr">
        <is>
          <t>Patenté (Personne Physique)</t>
        </is>
      </c>
      <c r="F559" s="17" t="inlineStr">
        <is>
          <t>Patenté</t>
        </is>
      </c>
      <c r="G559" s="16" t="inlineStr">
        <is>
          <t>3312Z</t>
        </is>
      </c>
      <c r="H559" s="16" t="inlineStr">
        <is>
          <t>M</t>
        </is>
      </c>
      <c r="I559" s="17" t="inlineStr">
        <is>
          <t>Métiers &amp; Artisanat</t>
        </is>
      </c>
      <c r="J559" s="18" t="n">
        <v>0</v>
      </c>
      <c r="K559" s="18" t="n">
        <v>1</v>
      </c>
      <c r="L559" s="17" t="inlineStr">
        <is>
          <t>17 1794 A</t>
        </is>
      </c>
      <c r="M559" s="17" t="inlineStr">
        <is>
          <t>M PAHIO ITEARIKI JAMES</t>
        </is>
      </c>
      <c r="N559" s="17" t="inlineStr">
        <is>
          <t>Chef d entreprise</t>
        </is>
      </c>
      <c r="O559" s="18" t="inlineStr">
        <is>
          <t>12887</t>
        </is>
      </c>
    </row>
    <row r="560" ht="20" customHeight="1">
      <c r="A560" s="13" t="inlineStr">
        <is>
          <t>PAEA-CCISM-0559</t>
        </is>
      </c>
      <c r="B560" s="13" t="inlineStr">
        <is>
          <t>947648</t>
        </is>
      </c>
      <c r="C560" s="14" t="inlineStr">
        <is>
          <t>PAI PIERROT</t>
        </is>
      </c>
      <c r="D560" s="14" t="inlineStr">
        <is>
          <t>QTR POURU 98711 PAEA</t>
        </is>
      </c>
      <c r="E560" s="14" t="inlineStr">
        <is>
          <t>Patenté (Personne Physique)</t>
        </is>
      </c>
      <c r="F560" s="14" t="inlineStr">
        <is>
          <t>Patenté</t>
        </is>
      </c>
      <c r="G560" s="13" t="inlineStr">
        <is>
          <t>4339Z</t>
        </is>
      </c>
      <c r="H560" s="13" t="inlineStr">
        <is>
          <t>M</t>
        </is>
      </c>
      <c r="I560" s="14" t="inlineStr">
        <is>
          <t>Métiers &amp; Artisanat</t>
        </is>
      </c>
      <c r="J560" s="15" t="n">
        <v>0</v>
      </c>
      <c r="K560" s="15" t="n">
        <v>1</v>
      </c>
      <c r="L560" s="14" t="inlineStr">
        <is>
          <t>19 2468 A</t>
        </is>
      </c>
      <c r="M560" s="14" t="inlineStr">
        <is>
          <t>M PAI PIERROT</t>
        </is>
      </c>
      <c r="N560" s="14" t="inlineStr">
        <is>
          <t>Chef d entreprise</t>
        </is>
      </c>
      <c r="O560" s="15" t="inlineStr">
        <is>
          <t>12909</t>
        </is>
      </c>
    </row>
    <row r="561" ht="20" customHeight="1">
      <c r="A561" s="16" t="inlineStr">
        <is>
          <t>PAEA-CCISM-0560</t>
        </is>
      </c>
      <c r="B561" s="16" t="inlineStr">
        <is>
          <t>F19196</t>
        </is>
      </c>
      <c r="C561" s="17" t="inlineStr">
        <is>
          <t>PAIA HEIKURA</t>
        </is>
      </c>
      <c r="D561" s="17" t="inlineStr">
        <is>
          <t>RESIDENCE LES JARDINS DE PAEA LOT 430 PK 20.500 C/MONT 98711 PAEA</t>
        </is>
      </c>
      <c r="E561" s="17" t="inlineStr">
        <is>
          <t>Patenté (Personne Physique)</t>
        </is>
      </c>
      <c r="F561" s="17" t="inlineStr">
        <is>
          <t>Patenté</t>
        </is>
      </c>
      <c r="G561" s="16" t="inlineStr">
        <is>
          <t>1723Z</t>
        </is>
      </c>
      <c r="H561" s="16" t="inlineStr">
        <is>
          <t>M</t>
        </is>
      </c>
      <c r="I561" s="17" t="inlineStr">
        <is>
          <t>Métiers &amp; Artisanat</t>
        </is>
      </c>
      <c r="J561" s="18" t="n">
        <v>0</v>
      </c>
      <c r="K561" s="18" t="n">
        <v>1</v>
      </c>
      <c r="L561" s="17" t="inlineStr">
        <is>
          <t>23 382 A</t>
        </is>
      </c>
      <c r="M561" s="17" t="inlineStr">
        <is>
          <t>Mme PAIA HEIKURA</t>
        </is>
      </c>
      <c r="N561" s="17" t="inlineStr">
        <is>
          <t>Chef d entreprise</t>
        </is>
      </c>
      <c r="O561" s="18" t="inlineStr">
        <is>
          <t>12910</t>
        </is>
      </c>
    </row>
    <row r="562" ht="20" customHeight="1">
      <c r="A562" s="13" t="inlineStr">
        <is>
          <t>PAEA-CCISM-0561</t>
        </is>
      </c>
      <c r="B562" s="13" t="inlineStr">
        <is>
          <t>738120</t>
        </is>
      </c>
      <c r="C562" s="14" t="inlineStr">
        <is>
          <t>PAINT KOUI FRANCIS TINO</t>
        </is>
      </c>
      <c r="D562" s="14" t="inlineStr">
        <is>
          <t>PAEA PK 27.300 C/MONT - FAANA 98711 PAEA</t>
        </is>
      </c>
      <c r="E562" s="14" t="inlineStr">
        <is>
          <t>Patenté (Personne Physique)</t>
        </is>
      </c>
      <c r="F562" s="14" t="inlineStr">
        <is>
          <t>Patenté</t>
        </is>
      </c>
      <c r="G562" s="13" t="inlineStr">
        <is>
          <t>4339Z</t>
        </is>
      </c>
      <c r="H562" s="13" t="inlineStr">
        <is>
          <t>M</t>
        </is>
      </c>
      <c r="I562" s="14" t="inlineStr">
        <is>
          <t>Métiers &amp; Artisanat</t>
        </is>
      </c>
      <c r="J562" s="15" t="n">
        <v>0</v>
      </c>
      <c r="K562" s="15" t="n">
        <v>1</v>
      </c>
      <c r="L562" s="14" t="inlineStr">
        <is>
          <t>05 796 A</t>
        </is>
      </c>
      <c r="M562" s="14" t="inlineStr">
        <is>
          <t>M PAINT KOUI FRANCIS TINO</t>
        </is>
      </c>
      <c r="N562" s="14" t="inlineStr">
        <is>
          <t>Chef d entreprise</t>
        </is>
      </c>
      <c r="O562" s="15" t="inlineStr">
        <is>
          <t>12920</t>
        </is>
      </c>
    </row>
    <row r="563" ht="20" customHeight="1">
      <c r="A563" s="16" t="inlineStr">
        <is>
          <t>PAEA-CCISM-0562</t>
        </is>
      </c>
      <c r="B563" s="16" t="inlineStr">
        <is>
          <t>203687</t>
        </is>
      </c>
      <c r="C563" s="17" t="inlineStr">
        <is>
          <t>PANAI ABINERA</t>
        </is>
      </c>
      <c r="D563" s="17" t="inlineStr">
        <is>
          <t>SERVITUDE PURAUTEA N° 15 98711 PAEA</t>
        </is>
      </c>
      <c r="E563" s="17" t="inlineStr">
        <is>
          <t>Patenté (Personne Physique)</t>
        </is>
      </c>
      <c r="F563" s="17" t="inlineStr">
        <is>
          <t>Patenté</t>
        </is>
      </c>
      <c r="G563" s="16" t="inlineStr">
        <is>
          <t>4339Z</t>
        </is>
      </c>
      <c r="H563" s="16" t="inlineStr">
        <is>
          <t>M</t>
        </is>
      </c>
      <c r="I563" s="17" t="inlineStr">
        <is>
          <t>Métiers &amp; Artisanat</t>
        </is>
      </c>
      <c r="J563" s="18" t="n">
        <v>1</v>
      </c>
      <c r="K563" s="18" t="n">
        <v>1</v>
      </c>
      <c r="L563" s="17" t="inlineStr">
        <is>
          <t>221934 A</t>
        </is>
      </c>
      <c r="M563" s="17" t="inlineStr">
        <is>
          <t>M PANAI ABINERA</t>
        </is>
      </c>
      <c r="N563" s="17" t="inlineStr">
        <is>
          <t>Chef d entreprise</t>
        </is>
      </c>
      <c r="O563" s="18" t="inlineStr">
        <is>
          <t>12933</t>
        </is>
      </c>
    </row>
    <row r="564" ht="20" customHeight="1">
      <c r="A564" s="13" t="inlineStr">
        <is>
          <t>PAEA-CCISM-0563</t>
        </is>
      </c>
      <c r="B564" s="13" t="inlineStr">
        <is>
          <t>339978</t>
        </is>
      </c>
      <c r="C564" s="14" t="inlineStr">
        <is>
          <t>PANAI HANS JEROME HITIRERE</t>
        </is>
      </c>
      <c r="D564" s="14" t="inlineStr">
        <is>
          <t>PAEA PK 20.500 C/MONT 98711 PAEA</t>
        </is>
      </c>
      <c r="E564" s="14" t="inlineStr">
        <is>
          <t>Patenté (Personne Physique)</t>
        </is>
      </c>
      <c r="F564" s="14" t="inlineStr">
        <is>
          <t>Patenté</t>
        </is>
      </c>
      <c r="G564" s="13" t="inlineStr">
        <is>
          <t>4339Z</t>
        </is>
      </c>
      <c r="H564" s="13" t="inlineStr">
        <is>
          <t>M</t>
        </is>
      </c>
      <c r="I564" s="14" t="inlineStr">
        <is>
          <t>Métiers &amp; Artisanat</t>
        </is>
      </c>
      <c r="J564" s="15" t="n">
        <v>0</v>
      </c>
      <c r="K564" s="15" t="n">
        <v>1</v>
      </c>
      <c r="L564" s="14" t="inlineStr">
        <is>
          <t>06 1330 A</t>
        </is>
      </c>
      <c r="M564" s="14" t="inlineStr">
        <is>
          <t>M PANAI HANS JEROME HITIRERE</t>
        </is>
      </c>
      <c r="N564" s="14" t="inlineStr">
        <is>
          <t>Chef d entreprise</t>
        </is>
      </c>
      <c r="O564" s="15" t="inlineStr">
        <is>
          <t>12934</t>
        </is>
      </c>
    </row>
    <row r="565" ht="20" customHeight="1">
      <c r="A565" s="16" t="inlineStr">
        <is>
          <t>PAEA-CCISM-0564</t>
        </is>
      </c>
      <c r="B565" s="16" t="inlineStr">
        <is>
          <t>G11126</t>
        </is>
      </c>
      <c r="C565" s="17" t="inlineStr">
        <is>
          <t>PANERAI BAPTISTE</t>
        </is>
      </c>
      <c r="D565" s="17" t="inlineStr">
        <is>
          <t>SERVITUDE VAIPANE PK 20.800 C/MONTAGNE 98711 PAEA</t>
        </is>
      </c>
      <c r="E565" s="17" t="inlineStr">
        <is>
          <t>Patenté (Personne Physique)</t>
        </is>
      </c>
      <c r="F565" s="17" t="inlineStr">
        <is>
          <t>Patenté</t>
        </is>
      </c>
      <c r="G565" s="16" t="inlineStr">
        <is>
          <t>7420Z</t>
        </is>
      </c>
      <c r="H565" s="16" t="inlineStr">
        <is>
          <t>M</t>
        </is>
      </c>
      <c r="I565" s="17" t="inlineStr">
        <is>
          <t>Métiers &amp; Artisanat</t>
        </is>
      </c>
      <c r="J565" s="18" t="n">
        <v>0</v>
      </c>
      <c r="K565" s="18" t="n">
        <v>1</v>
      </c>
      <c r="L565" s="17" t="inlineStr">
        <is>
          <t>25 333 A</t>
        </is>
      </c>
      <c r="M565" s="17" t="inlineStr">
        <is>
          <t>M PANERAI BAPTISTE</t>
        </is>
      </c>
      <c r="N565" s="17" t="inlineStr">
        <is>
          <t>Chef d entreprise</t>
        </is>
      </c>
      <c r="O565" s="18" t="inlineStr">
        <is>
          <t>12936</t>
        </is>
      </c>
    </row>
    <row r="566" ht="20" customHeight="1">
      <c r="A566" s="13" t="inlineStr">
        <is>
          <t>PAEA-CCISM-0565</t>
        </is>
      </c>
      <c r="B566" s="13" t="inlineStr">
        <is>
          <t>A96310</t>
        </is>
      </c>
      <c r="C566" s="14" t="inlineStr">
        <is>
          <t>PANI JUAN TIAITAU</t>
        </is>
      </c>
      <c r="D566" s="14" t="inlineStr">
        <is>
          <t>SERV. VAITIARE 2 98711 PAEA</t>
        </is>
      </c>
      <c r="E566" s="14" t="inlineStr">
        <is>
          <t>Patenté (Personne Physique)</t>
        </is>
      </c>
      <c r="F566" s="14" t="inlineStr">
        <is>
          <t>Patenté</t>
        </is>
      </c>
      <c r="G566" s="13" t="inlineStr">
        <is>
          <t>4339Z</t>
        </is>
      </c>
      <c r="H566" s="13" t="inlineStr">
        <is>
          <t>M</t>
        </is>
      </c>
      <c r="I566" s="14" t="inlineStr">
        <is>
          <t>Métiers &amp; Artisanat</t>
        </is>
      </c>
      <c r="J566" s="15" t="n">
        <v>0</v>
      </c>
      <c r="K566" s="15" t="n">
        <v>1</v>
      </c>
      <c r="L566" s="14" t="inlineStr">
        <is>
          <t>14 195 A</t>
        </is>
      </c>
      <c r="M566" s="14" t="inlineStr">
        <is>
          <t>M PANI JUAN TIAITAU</t>
        </is>
      </c>
      <c r="N566" s="14" t="inlineStr">
        <is>
          <t>Chef d entreprise</t>
        </is>
      </c>
      <c r="O566" s="15" t="inlineStr">
        <is>
          <t>12955</t>
        </is>
      </c>
    </row>
    <row r="567" ht="20" customHeight="1">
      <c r="A567" s="16" t="inlineStr">
        <is>
          <t>PAEA-CCISM-0566</t>
        </is>
      </c>
      <c r="B567" s="16" t="inlineStr">
        <is>
          <t>E15337</t>
        </is>
      </c>
      <c r="C567" s="17" t="inlineStr">
        <is>
          <t>PANI NEE MERVIN GRAZIELLA</t>
        </is>
      </c>
      <c r="D567" s="17" t="inlineStr">
        <is>
          <t>QUARTIER VAITIARE II 98711 PAEA</t>
        </is>
      </c>
      <c r="E567" s="17" t="inlineStr">
        <is>
          <t>Patenté (Personne Physique)</t>
        </is>
      </c>
      <c r="F567" s="17" t="inlineStr">
        <is>
          <t>Patenté</t>
        </is>
      </c>
      <c r="G567" s="16" t="inlineStr">
        <is>
          <t>3299Z</t>
        </is>
      </c>
      <c r="H567" s="16" t="inlineStr">
        <is>
          <t>M</t>
        </is>
      </c>
      <c r="I567" s="17" t="inlineStr">
        <is>
          <t>Métiers &amp; Artisanat</t>
        </is>
      </c>
      <c r="J567" s="18" t="n">
        <v>0</v>
      </c>
      <c r="K567" s="18" t="n">
        <v>1</v>
      </c>
      <c r="L567" s="17" t="inlineStr">
        <is>
          <t>21 649 A</t>
        </is>
      </c>
      <c r="M567" s="17" t="inlineStr">
        <is>
          <t>Mme PANI (Née MERVIN) GRAZIELLA</t>
        </is>
      </c>
      <c r="N567" s="17" t="inlineStr">
        <is>
          <t>Chef d entreprise</t>
        </is>
      </c>
      <c r="O567" s="18" t="inlineStr">
        <is>
          <t>12960</t>
        </is>
      </c>
    </row>
    <row r="568" ht="20" customHeight="1">
      <c r="A568" s="13" t="inlineStr">
        <is>
          <t>PAEA-CCISM-0567</t>
        </is>
      </c>
      <c r="B568" s="13" t="inlineStr">
        <is>
          <t>F17687</t>
        </is>
      </c>
      <c r="C568" s="14" t="inlineStr">
        <is>
          <t>PAPARA WANDA TEVAI</t>
        </is>
      </c>
      <c r="D568" s="14" t="inlineStr">
        <is>
          <t>RTE SERVITUDE FAANA 98711 PAEA</t>
        </is>
      </c>
      <c r="E568" s="14" t="inlineStr">
        <is>
          <t>Patenté (Personne Physique)</t>
        </is>
      </c>
      <c r="F568" s="14" t="inlineStr">
        <is>
          <t>Patenté</t>
        </is>
      </c>
      <c r="G568" s="13" t="inlineStr">
        <is>
          <t>9521Z</t>
        </is>
      </c>
      <c r="H568" s="13" t="inlineStr">
        <is>
          <t>M</t>
        </is>
      </c>
      <c r="I568" s="14" t="inlineStr">
        <is>
          <t>Métiers &amp; Artisanat</t>
        </is>
      </c>
      <c r="J568" s="15" t="n">
        <v>0</v>
      </c>
      <c r="K568" s="15" t="n">
        <v>1</v>
      </c>
      <c r="L568" s="14" t="inlineStr">
        <is>
          <t>23 272 A</t>
        </is>
      </c>
      <c r="M568" s="14" t="inlineStr">
        <is>
          <t>Mme PAPARA WANDA TEVAI</t>
        </is>
      </c>
      <c r="N568" s="14" t="inlineStr">
        <is>
          <t>Chef d entreprise</t>
        </is>
      </c>
      <c r="O568" s="15" t="inlineStr">
        <is>
          <t>12995</t>
        </is>
      </c>
    </row>
    <row r="569" ht="20" customHeight="1">
      <c r="A569" s="16" t="inlineStr">
        <is>
          <t>PAEA-CCISM-0568</t>
        </is>
      </c>
      <c r="B569" s="16" t="inlineStr">
        <is>
          <t>648121</t>
        </is>
      </c>
      <c r="C569" s="17" t="inlineStr">
        <is>
          <t>PAPUTEPUAI ADOLPHE</t>
        </is>
      </c>
      <c r="D569" s="17" t="inlineStr">
        <is>
          <t>PAEA PK 19.800 C/MONT 98711 PAEA</t>
        </is>
      </c>
      <c r="E569" s="17" t="inlineStr">
        <is>
          <t>Patenté (Personne Physique)</t>
        </is>
      </c>
      <c r="F569" s="17" t="inlineStr">
        <is>
          <t>Patenté</t>
        </is>
      </c>
      <c r="G569" s="16" t="inlineStr">
        <is>
          <t>4520A</t>
        </is>
      </c>
      <c r="H569" s="16" t="inlineStr">
        <is>
          <t>M</t>
        </is>
      </c>
      <c r="I569" s="17" t="inlineStr">
        <is>
          <t>Métiers &amp; Artisanat</t>
        </is>
      </c>
      <c r="J569" s="18" t="n">
        <v>0</v>
      </c>
      <c r="K569" s="18" t="n">
        <v>1</v>
      </c>
      <c r="L569" s="17" t="inlineStr">
        <is>
          <t>42335 A</t>
        </is>
      </c>
      <c r="M569" s="17" t="inlineStr">
        <is>
          <t>M PAPU-TEPUAI ADOLPHE</t>
        </is>
      </c>
      <c r="N569" s="17" t="inlineStr">
        <is>
          <t>Chef d entreprise</t>
        </is>
      </c>
      <c r="O569" s="18" t="inlineStr">
        <is>
          <t>13003</t>
        </is>
      </c>
    </row>
    <row r="570" ht="20" customHeight="1">
      <c r="A570" s="13" t="inlineStr">
        <is>
          <t>PAEA-CCISM-0569</t>
        </is>
      </c>
      <c r="B570" s="13" t="inlineStr">
        <is>
          <t>E68930</t>
        </is>
      </c>
      <c r="C570" s="14" t="inlineStr">
        <is>
          <t>PARC AUTO PAEA SERVICES</t>
        </is>
      </c>
      <c r="D570" s="14" t="inlineStr">
        <is>
          <t>TERRE TETAIPOARARUA 98711 PAEA</t>
        </is>
      </c>
      <c r="E570" s="14" t="inlineStr">
        <is>
          <t>SARL</t>
        </is>
      </c>
      <c r="F570" s="14" t="inlineStr">
        <is>
          <t>Société</t>
        </is>
      </c>
      <c r="G570" s="13" t="inlineStr">
        <is>
          <t>4520A</t>
        </is>
      </c>
      <c r="H570" s="13" t="inlineStr">
        <is>
          <t>M</t>
        </is>
      </c>
      <c r="I570" s="14" t="inlineStr">
        <is>
          <t>Métiers &amp; Artisanat</t>
        </is>
      </c>
      <c r="J570" s="15" t="n">
        <v>1</v>
      </c>
      <c r="K570" s="15" t="n">
        <v>1</v>
      </c>
      <c r="L570" s="14" t="inlineStr">
        <is>
          <t>22 91 B</t>
        </is>
      </c>
      <c r="M570" s="14" t="inlineStr">
        <is>
          <t>M LYCURGUE JEAN-MARC</t>
        </is>
      </c>
      <c r="N570" s="14" t="inlineStr">
        <is>
          <t>Autre</t>
        </is>
      </c>
      <c r="O570" s="15" t="inlineStr">
        <is>
          <t>13023</t>
        </is>
      </c>
    </row>
    <row r="571" ht="20" customHeight="1">
      <c r="A571" s="16" t="inlineStr">
        <is>
          <t>PAEA-CCISM-0570</t>
        </is>
      </c>
      <c r="B571" s="16" t="inlineStr">
        <is>
          <t>695445</t>
        </is>
      </c>
      <c r="C571" s="17" t="inlineStr">
        <is>
          <t>PARMENTIER PATRICK MARCEAU</t>
        </is>
      </c>
      <c r="D571" s="17" t="inlineStr">
        <is>
          <t>PAEA PK 19.100 C:MONT 98711 PAEA</t>
        </is>
      </c>
      <c r="E571" s="17" t="inlineStr">
        <is>
          <t>Patenté (Personne Physique)</t>
        </is>
      </c>
      <c r="F571" s="17" t="inlineStr">
        <is>
          <t>Patenté</t>
        </is>
      </c>
      <c r="G571" s="16" t="inlineStr">
        <is>
          <t>2512Z</t>
        </is>
      </c>
      <c r="H571" s="16" t="inlineStr">
        <is>
          <t>M</t>
        </is>
      </c>
      <c r="I571" s="17" t="inlineStr">
        <is>
          <t>Métiers &amp; Artisanat</t>
        </is>
      </c>
      <c r="J571" s="18" t="n">
        <v>0</v>
      </c>
      <c r="K571" s="18" t="n">
        <v>1</v>
      </c>
      <c r="L571" s="17" t="inlineStr">
        <is>
          <t>45171 A</t>
        </is>
      </c>
      <c r="M571" s="17" t="inlineStr">
        <is>
          <t>M PARMENTIER PATRICK MARCEAU</t>
        </is>
      </c>
      <c r="N571" s="17" t="inlineStr">
        <is>
          <t>Chef d entreprise</t>
        </is>
      </c>
      <c r="O571" s="18" t="inlineStr">
        <is>
          <t>13042</t>
        </is>
      </c>
    </row>
    <row r="572" ht="20" customHeight="1">
      <c r="A572" s="13" t="inlineStr">
        <is>
          <t>PAEA-CCISM-0571</t>
        </is>
      </c>
      <c r="B572" s="13" t="inlineStr">
        <is>
          <t>727081</t>
        </is>
      </c>
      <c r="C572" s="14" t="inlineStr">
        <is>
          <t>PATACCONI-SILVESTRINI GIOVANNI</t>
        </is>
      </c>
      <c r="D572" s="14" t="inlineStr">
        <is>
          <t>VALLEE OROFERO 98711 PAEA</t>
        </is>
      </c>
      <c r="E572" s="14" t="inlineStr">
        <is>
          <t>Patenté (Personne Physique)</t>
        </is>
      </c>
      <c r="F572" s="14" t="inlineStr">
        <is>
          <t>Patenté</t>
        </is>
      </c>
      <c r="G572" s="13" t="inlineStr">
        <is>
          <t>4120B</t>
        </is>
      </c>
      <c r="H572" s="13" t="inlineStr">
        <is>
          <t>M</t>
        </is>
      </c>
      <c r="I572" s="14" t="inlineStr">
        <is>
          <t>Métiers &amp; Artisanat</t>
        </is>
      </c>
      <c r="J572" s="15" t="n">
        <v>1</v>
      </c>
      <c r="K572" s="15" t="n">
        <v>1</v>
      </c>
      <c r="L572" s="14" t="inlineStr">
        <is>
          <t>14 1171 A</t>
        </is>
      </c>
      <c r="M572" s="14" t="inlineStr">
        <is>
          <t>M PATACCONI-SILVESTRINI GIOVANNI</t>
        </is>
      </c>
      <c r="N572" s="14" t="inlineStr">
        <is>
          <t>Chef d entreprise</t>
        </is>
      </c>
      <c r="O572" s="15" t="inlineStr">
        <is>
          <t>13053</t>
        </is>
      </c>
    </row>
    <row r="573" ht="20" customHeight="1">
      <c r="A573" s="16" t="inlineStr">
        <is>
          <t>PAEA-CCISM-0572</t>
        </is>
      </c>
      <c r="B573" s="16" t="inlineStr">
        <is>
          <t>528638</t>
        </is>
      </c>
      <c r="C573" s="17" t="inlineStr">
        <is>
          <t>PAU NOEL</t>
        </is>
      </c>
      <c r="D573" s="17" t="inlineStr">
        <is>
          <t>98711 PAEA</t>
        </is>
      </c>
      <c r="E573" s="17" t="inlineStr">
        <is>
          <t>Patenté (Personne Physique)</t>
        </is>
      </c>
      <c r="F573" s="17" t="inlineStr">
        <is>
          <t>Patenté</t>
        </is>
      </c>
      <c r="G573" s="16" t="inlineStr">
        <is>
          <t>8121Z</t>
        </is>
      </c>
      <c r="H573" s="16" t="inlineStr">
        <is>
          <t>M</t>
        </is>
      </c>
      <c r="I573" s="17" t="inlineStr">
        <is>
          <t>Métiers &amp; Artisanat</t>
        </is>
      </c>
      <c r="J573" s="18" t="n">
        <v>0</v>
      </c>
      <c r="K573" s="18" t="n">
        <v>1</v>
      </c>
      <c r="L573" s="17" t="inlineStr">
        <is>
          <t>36050 A</t>
        </is>
      </c>
      <c r="M573" s="17" t="inlineStr">
        <is>
          <t>M PAU NOEL</t>
        </is>
      </c>
      <c r="N573" s="17" t="inlineStr">
        <is>
          <t>Chef d entreprise</t>
        </is>
      </c>
      <c r="O573" s="18" t="inlineStr">
        <is>
          <t>13092</t>
        </is>
      </c>
    </row>
    <row r="574" ht="20" customHeight="1">
      <c r="A574" s="13" t="inlineStr">
        <is>
          <t>PAEA-CCISM-0573</t>
        </is>
      </c>
      <c r="B574" s="13" t="inlineStr">
        <is>
          <t>578658</t>
        </is>
      </c>
      <c r="C574" s="14" t="inlineStr">
        <is>
          <t>PAUTU OLIVIER TENAHE</t>
        </is>
      </c>
      <c r="D574" s="14" t="inlineStr">
        <is>
          <t>98711 PAEA</t>
        </is>
      </c>
      <c r="E574" s="14" t="inlineStr">
        <is>
          <t>Patenté (Personne Physique)</t>
        </is>
      </c>
      <c r="F574" s="14" t="inlineStr">
        <is>
          <t>Patenté</t>
        </is>
      </c>
      <c r="G574" s="13" t="inlineStr">
        <is>
          <t>4120B</t>
        </is>
      </c>
      <c r="H574" s="13" t="inlineStr">
        <is>
          <t>M</t>
        </is>
      </c>
      <c r="I574" s="14" t="inlineStr">
        <is>
          <t>Métiers &amp; Artisanat</t>
        </is>
      </c>
      <c r="J574" s="15" t="n">
        <v>0</v>
      </c>
      <c r="K574" s="15" t="n">
        <v>1</v>
      </c>
      <c r="L574" s="14" t="inlineStr">
        <is>
          <t>16 162 A</t>
        </is>
      </c>
      <c r="M574" s="14" t="inlineStr">
        <is>
          <t>M PAUTU OLIVIER TENAHE</t>
        </is>
      </c>
      <c r="N574" s="14" t="inlineStr">
        <is>
          <t>Chef d entreprise</t>
        </is>
      </c>
      <c r="O574" s="15" t="inlineStr">
        <is>
          <t>13107</t>
        </is>
      </c>
    </row>
    <row r="575" ht="20" customHeight="1">
      <c r="A575" s="16" t="inlineStr">
        <is>
          <t>PAEA-CCISM-0574</t>
        </is>
      </c>
      <c r="B575" s="16" t="inlineStr">
        <is>
          <t>113720</t>
        </is>
      </c>
      <c r="C575" s="17" t="inlineStr">
        <is>
          <t>PEIRSEGAELE MARC</t>
        </is>
      </c>
      <c r="D575" s="17" t="inlineStr">
        <is>
          <t>PAEA PK 23,100 C/MER 98711 PAEA</t>
        </is>
      </c>
      <c r="E575" s="17" t="inlineStr">
        <is>
          <t>Patenté (Personne Physique)</t>
        </is>
      </c>
      <c r="F575" s="17" t="inlineStr">
        <is>
          <t>Patenté</t>
        </is>
      </c>
      <c r="G575" s="16" t="inlineStr">
        <is>
          <t>2511Z</t>
        </is>
      </c>
      <c r="H575" s="16" t="inlineStr">
        <is>
          <t>M</t>
        </is>
      </c>
      <c r="I575" s="17" t="inlineStr">
        <is>
          <t>Métiers &amp; Artisanat</t>
        </is>
      </c>
      <c r="J575" s="18" t="n">
        <v>2</v>
      </c>
      <c r="K575" s="18" t="n">
        <v>1</v>
      </c>
      <c r="L575" s="17" t="inlineStr">
        <is>
          <t>12676 A</t>
        </is>
      </c>
      <c r="M575" s="17" t="inlineStr">
        <is>
          <t>M PEIRSEGAELE MARC</t>
        </is>
      </c>
      <c r="N575" s="17" t="inlineStr">
        <is>
          <t>Chef d entreprise</t>
        </is>
      </c>
      <c r="O575" s="18" t="inlineStr">
        <is>
          <t>13147</t>
        </is>
      </c>
    </row>
    <row r="576" ht="20" customHeight="1">
      <c r="A576" s="13" t="inlineStr">
        <is>
          <t>PAEA-CCISM-0575</t>
        </is>
      </c>
      <c r="B576" s="13" t="inlineStr">
        <is>
          <t>E11567</t>
        </is>
      </c>
      <c r="C576" s="14" t="inlineStr">
        <is>
          <t>PERSAN LINDA</t>
        </is>
      </c>
      <c r="D576" s="14" t="inlineStr">
        <is>
          <t>SERVITUDE PICARD L 98711 PAEA</t>
        </is>
      </c>
      <c r="E576" s="14" t="inlineStr">
        <is>
          <t>Patenté (Personne Physique)</t>
        </is>
      </c>
      <c r="F576" s="14" t="inlineStr">
        <is>
          <t>Patenté</t>
        </is>
      </c>
      <c r="G576" s="13" t="inlineStr">
        <is>
          <t>8130Z</t>
        </is>
      </c>
      <c r="H576" s="13" t="inlineStr">
        <is>
          <t>M</t>
        </is>
      </c>
      <c r="I576" s="14" t="inlineStr">
        <is>
          <t>Métiers &amp; Artisanat</t>
        </is>
      </c>
      <c r="J576" s="15" t="n">
        <v>0</v>
      </c>
      <c r="K576" s="15" t="n">
        <v>1</v>
      </c>
      <c r="L576" s="14" t="inlineStr">
        <is>
          <t>21 342 A</t>
        </is>
      </c>
      <c r="M576" s="14" t="inlineStr">
        <is>
          <t>Mme PERSAN LINDA</t>
        </is>
      </c>
      <c r="N576" s="14" t="inlineStr">
        <is>
          <t>Chef d entreprise</t>
        </is>
      </c>
      <c r="O576" s="15" t="inlineStr">
        <is>
          <t>13206</t>
        </is>
      </c>
    </row>
    <row r="577" ht="20" customHeight="1">
      <c r="A577" s="16" t="inlineStr">
        <is>
          <t>PAEA-CCISM-0576</t>
        </is>
      </c>
      <c r="B577" s="16" t="inlineStr">
        <is>
          <t>885780</t>
        </is>
      </c>
      <c r="C577" s="17" t="inlineStr">
        <is>
          <t>PHEBUS POLYNESIE</t>
        </is>
      </c>
      <c r="D577" s="17" t="inlineStr">
        <is>
          <t>PAEA PK 18.500 C/MONT - VALLEE PAPEHUE 98711 PAEA</t>
        </is>
      </c>
      <c r="E577" s="17" t="inlineStr">
        <is>
          <t>SARL</t>
        </is>
      </c>
      <c r="F577" s="17" t="inlineStr">
        <is>
          <t>Société</t>
        </is>
      </c>
      <c r="G577" s="16" t="inlineStr">
        <is>
          <t>4120B</t>
        </is>
      </c>
      <c r="H577" s="16" t="inlineStr">
        <is>
          <t>M</t>
        </is>
      </c>
      <c r="I577" s="17" t="inlineStr">
        <is>
          <t>Métiers &amp; Artisanat</t>
        </is>
      </c>
      <c r="J577" s="18" t="n">
        <v>1</v>
      </c>
      <c r="K577" s="18" t="n">
        <v>1</v>
      </c>
      <c r="L577" s="17" t="inlineStr">
        <is>
          <t>08 308 B</t>
        </is>
      </c>
      <c r="M577" s="17" t="inlineStr">
        <is>
          <t>M VAUTHIER NICOLAS</t>
        </is>
      </c>
      <c r="N577" s="17" t="inlineStr">
        <is>
          <t>Gérant</t>
        </is>
      </c>
      <c r="O577" s="18" t="inlineStr">
        <is>
          <t>13246</t>
        </is>
      </c>
    </row>
    <row r="578" ht="20" customHeight="1">
      <c r="A578" s="13" t="inlineStr">
        <is>
          <t>PAEA-CCISM-0577</t>
        </is>
      </c>
      <c r="B578" s="13" t="inlineStr">
        <is>
          <t>763599</t>
        </is>
      </c>
      <c r="C578" s="14" t="inlineStr">
        <is>
          <t>PHELIPPEAU THOMAS PATRICK DANIEL FLORENCE</t>
        </is>
      </c>
      <c r="D578" s="14" t="inlineStr">
        <is>
          <t>PAEA PK 20 RESID TOURNESOL 98711 PAEA</t>
        </is>
      </c>
      <c r="E578" s="14" t="inlineStr">
        <is>
          <t>Patenté (Personne Physique)</t>
        </is>
      </c>
      <c r="F578" s="14" t="inlineStr">
        <is>
          <t>Patenté</t>
        </is>
      </c>
      <c r="G578" s="13" t="inlineStr">
        <is>
          <t>4120A</t>
        </is>
      </c>
      <c r="H578" s="13" t="inlineStr">
        <is>
          <t>M</t>
        </is>
      </c>
      <c r="I578" s="14" t="inlineStr">
        <is>
          <t>Métiers &amp; Artisanat</t>
        </is>
      </c>
      <c r="J578" s="15" t="n">
        <v>0</v>
      </c>
      <c r="K578" s="15" t="n">
        <v>1</v>
      </c>
      <c r="L578" s="14" t="inlineStr">
        <is>
          <t>06 88 A</t>
        </is>
      </c>
      <c r="M578" s="14" t="inlineStr">
        <is>
          <t>M PHELIPPEAU THOMAS PATRICK DANIEL FLORENCE</t>
        </is>
      </c>
      <c r="N578" s="14" t="inlineStr">
        <is>
          <t>Chef d entreprise</t>
        </is>
      </c>
      <c r="O578" s="15" t="inlineStr">
        <is>
          <t>13248</t>
        </is>
      </c>
    </row>
    <row r="579" ht="20" customHeight="1">
      <c r="A579" s="16" t="inlineStr">
        <is>
          <t>PAEA-CCISM-0578</t>
        </is>
      </c>
      <c r="B579" s="16" t="inlineStr">
        <is>
          <t>D83080</t>
        </is>
      </c>
      <c r="C579" s="17" t="inlineStr">
        <is>
          <t>PIAU NEE LE MORT CAROLE JEANNE</t>
        </is>
      </c>
      <c r="D579" s="17" t="inlineStr">
        <is>
          <t>RTE LOTISSEMENT PUHANA LOT 7 N°29 98711 PAEA</t>
        </is>
      </c>
      <c r="E579" s="17" t="inlineStr">
        <is>
          <t>Patenté (Personne Physique)</t>
        </is>
      </c>
      <c r="F579" s="17" t="inlineStr">
        <is>
          <t>Patenté</t>
        </is>
      </c>
      <c r="G579" s="16" t="inlineStr">
        <is>
          <t>3213Z</t>
        </is>
      </c>
      <c r="H579" s="16" t="inlineStr">
        <is>
          <t>M</t>
        </is>
      </c>
      <c r="I579" s="17" t="inlineStr">
        <is>
          <t>Métiers &amp; Artisanat</t>
        </is>
      </c>
      <c r="J579" s="18" t="n">
        <v>0</v>
      </c>
      <c r="K579" s="18" t="n">
        <v>1</v>
      </c>
      <c r="L579" s="17" t="inlineStr">
        <is>
          <t>20 1646 A</t>
        </is>
      </c>
      <c r="M579" s="17" t="inlineStr">
        <is>
          <t>Mme PIAU (Née LE MORT) CAROLE JEANNE</t>
        </is>
      </c>
      <c r="N579" s="17" t="inlineStr">
        <is>
          <t>Chef d entreprise</t>
        </is>
      </c>
      <c r="O579" s="18" t="inlineStr">
        <is>
          <t>13261</t>
        </is>
      </c>
    </row>
    <row r="580" ht="20" customHeight="1">
      <c r="A580" s="13" t="inlineStr">
        <is>
          <t>PAEA-CCISM-0579</t>
        </is>
      </c>
      <c r="B580" s="13" t="inlineStr">
        <is>
          <t>B80403</t>
        </is>
      </c>
      <c r="C580" s="14" t="inlineStr">
        <is>
          <t>PIED ERIC</t>
        </is>
      </c>
      <c r="D580" s="14" t="inlineStr">
        <is>
          <t>SERVITUDE PIED G1 98711 PAEA</t>
        </is>
      </c>
      <c r="E580" s="14" t="inlineStr">
        <is>
          <t>Patenté (Personne Physique)</t>
        </is>
      </c>
      <c r="F580" s="14" t="inlineStr">
        <is>
          <t>Patenté</t>
        </is>
      </c>
      <c r="G580" s="13" t="inlineStr">
        <is>
          <t>1629Z</t>
        </is>
      </c>
      <c r="H580" s="13" t="inlineStr">
        <is>
          <t>M</t>
        </is>
      </c>
      <c r="I580" s="14" t="inlineStr">
        <is>
          <t>Métiers &amp; Artisanat</t>
        </is>
      </c>
      <c r="J580" s="15" t="n">
        <v>0</v>
      </c>
      <c r="K580" s="15" t="n">
        <v>1</v>
      </c>
      <c r="L580" s="14" t="inlineStr">
        <is>
          <t>16 295 A</t>
        </is>
      </c>
      <c r="M580" s="14" t="inlineStr">
        <is>
          <t>M PIED ERIC</t>
        </is>
      </c>
      <c r="N580" s="14" t="inlineStr">
        <is>
          <t>Chef d entreprise</t>
        </is>
      </c>
      <c r="O580" s="15" t="inlineStr">
        <is>
          <t>13281</t>
        </is>
      </c>
    </row>
    <row r="581" ht="20" customHeight="1">
      <c r="A581" s="16" t="inlineStr">
        <is>
          <t>PAEA-CCISM-0580</t>
        </is>
      </c>
      <c r="B581" s="16" t="inlineStr">
        <is>
          <t>533885</t>
        </is>
      </c>
      <c r="C581" s="17" t="inlineStr">
        <is>
          <t>PIERRE BERNARD LOUIS</t>
        </is>
      </c>
      <c r="D581" s="17" t="inlineStr">
        <is>
          <t>MARAE ARAHURAHU 98711 PAEA</t>
        </is>
      </c>
      <c r="E581" s="17" t="inlineStr">
        <is>
          <t>Patenté (Personne Physique)</t>
        </is>
      </c>
      <c r="F581" s="17" t="inlineStr">
        <is>
          <t>Patenté</t>
        </is>
      </c>
      <c r="G581" s="16" t="inlineStr">
        <is>
          <t>4339Z</t>
        </is>
      </c>
      <c r="H581" s="16" t="inlineStr">
        <is>
          <t>M</t>
        </is>
      </c>
      <c r="I581" s="17" t="inlineStr">
        <is>
          <t>Métiers &amp; Artisanat</t>
        </is>
      </c>
      <c r="J581" s="18" t="n">
        <v>0</v>
      </c>
      <c r="K581" s="18" t="n">
        <v>1</v>
      </c>
      <c r="L581" s="17" t="inlineStr">
        <is>
          <t>14 18 A</t>
        </is>
      </c>
      <c r="M581" s="17" t="inlineStr">
        <is>
          <t>M PIERRE BERNARD LOUIS</t>
        </is>
      </c>
      <c r="N581" s="17" t="inlineStr">
        <is>
          <t>Chef d entreprise</t>
        </is>
      </c>
      <c r="O581" s="18" t="inlineStr">
        <is>
          <t>13284</t>
        </is>
      </c>
    </row>
    <row r="582" ht="20" customHeight="1">
      <c r="A582" s="13" t="inlineStr">
        <is>
          <t>PAEA-CCISM-0581</t>
        </is>
      </c>
      <c r="B582" s="13" t="inlineStr">
        <is>
          <t>324244</t>
        </is>
      </c>
      <c r="C582" s="14" t="inlineStr">
        <is>
          <t>PIERRE THIERRY</t>
        </is>
      </c>
      <c r="D582" s="14" t="inlineStr">
        <is>
          <t>SERVITUDE ROBSON 98711 PAEA</t>
        </is>
      </c>
      <c r="E582" s="14" t="inlineStr">
        <is>
          <t>Patenté (Personne Physique)</t>
        </is>
      </c>
      <c r="F582" s="14" t="inlineStr">
        <is>
          <t>Patenté</t>
        </is>
      </c>
      <c r="G582" s="13" t="inlineStr">
        <is>
          <t>4339Z</t>
        </is>
      </c>
      <c r="H582" s="13" t="inlineStr">
        <is>
          <t>M</t>
        </is>
      </c>
      <c r="I582" s="14" t="inlineStr">
        <is>
          <t>Métiers &amp; Artisanat</t>
        </is>
      </c>
      <c r="J582" s="15" t="n">
        <v>0</v>
      </c>
      <c r="K582" s="15" t="n">
        <v>1</v>
      </c>
      <c r="L582" s="14" t="inlineStr">
        <is>
          <t>23 1714 A</t>
        </is>
      </c>
      <c r="M582" s="14" t="inlineStr">
        <is>
          <t>M PIERRE THIERRY</t>
        </is>
      </c>
      <c r="N582" s="14" t="inlineStr">
        <is>
          <t>Chef d entreprise</t>
        </is>
      </c>
      <c r="O582" s="15" t="inlineStr">
        <is>
          <t>13285</t>
        </is>
      </c>
    </row>
    <row r="583" ht="20" customHeight="1">
      <c r="A583" s="16" t="inlineStr">
        <is>
          <t>PAEA-CCISM-0582</t>
        </is>
      </c>
      <c r="B583" s="16" t="inlineStr">
        <is>
          <t>E88664</t>
        </is>
      </c>
      <c r="C583" s="17" t="inlineStr">
        <is>
          <t>PITO AUIRA</t>
        </is>
      </c>
      <c r="D583" s="17" t="inlineStr">
        <is>
          <t>QUARTIER MAHUTATUA 98711 PAEA</t>
        </is>
      </c>
      <c r="E583" s="17" t="inlineStr">
        <is>
          <t>Patenté (Personne Physique)</t>
        </is>
      </c>
      <c r="F583" s="17" t="inlineStr">
        <is>
          <t>Patenté</t>
        </is>
      </c>
      <c r="G583" s="16" t="inlineStr">
        <is>
          <t>4339Z</t>
        </is>
      </c>
      <c r="H583" s="16" t="inlineStr">
        <is>
          <t>M</t>
        </is>
      </c>
      <c r="I583" s="17" t="inlineStr">
        <is>
          <t>Métiers &amp; Artisanat</t>
        </is>
      </c>
      <c r="J583" s="18" t="n">
        <v>0</v>
      </c>
      <c r="K583" s="18" t="n">
        <v>1</v>
      </c>
      <c r="L583" s="17" t="inlineStr">
        <is>
          <t>22 1986 A</t>
        </is>
      </c>
      <c r="M583" s="17" t="inlineStr">
        <is>
          <t>M PITO AUIRA</t>
        </is>
      </c>
      <c r="N583" s="17" t="inlineStr">
        <is>
          <t>Chef d entreprise</t>
        </is>
      </c>
      <c r="O583" s="18" t="inlineStr">
        <is>
          <t>13351</t>
        </is>
      </c>
    </row>
    <row r="584" ht="20" customHeight="1">
      <c r="A584" s="13" t="inlineStr">
        <is>
          <t>PAEA-CCISM-0583</t>
        </is>
      </c>
      <c r="B584" s="13" t="inlineStr">
        <is>
          <t>D89418</t>
        </is>
      </c>
      <c r="C584" s="14" t="inlineStr">
        <is>
          <t>PITO ISABELLE TEHUI</t>
        </is>
      </c>
      <c r="D584" s="14" t="inlineStr">
        <is>
          <t>98711 PAEA</t>
        </is>
      </c>
      <c r="E584" s="14" t="inlineStr">
        <is>
          <t>Patenté (Personne Physique)</t>
        </is>
      </c>
      <c r="F584" s="14" t="inlineStr">
        <is>
          <t>Patenté</t>
        </is>
      </c>
      <c r="G584" s="13" t="inlineStr">
        <is>
          <t>8121Z</t>
        </is>
      </c>
      <c r="H584" s="13" t="inlineStr">
        <is>
          <t>M</t>
        </is>
      </c>
      <c r="I584" s="14" t="inlineStr">
        <is>
          <t>Métiers &amp; Artisanat</t>
        </is>
      </c>
      <c r="J584" s="15" t="n">
        <v>0</v>
      </c>
      <c r="K584" s="15" t="n">
        <v>1</v>
      </c>
      <c r="L584" s="14" t="inlineStr">
        <is>
          <t>20 1975 A</t>
        </is>
      </c>
      <c r="M584" s="14" t="inlineStr">
        <is>
          <t>Mme PITO ISABELLE TEHUI</t>
        </is>
      </c>
      <c r="N584" s="14" t="inlineStr">
        <is>
          <t>Chef d entreprise</t>
        </is>
      </c>
      <c r="O584" s="15" t="inlineStr">
        <is>
          <t>13357</t>
        </is>
      </c>
    </row>
    <row r="585" ht="20" customHeight="1">
      <c r="A585" s="16" t="inlineStr">
        <is>
          <t>PAEA-CCISM-0584</t>
        </is>
      </c>
      <c r="B585" s="16" t="inlineStr">
        <is>
          <t>A43726</t>
        </is>
      </c>
      <c r="C585" s="17" t="inlineStr">
        <is>
          <t>PITO RAI EDWIN HEIMANU JAMES</t>
        </is>
      </c>
      <c r="D585" s="17" t="inlineStr">
        <is>
          <t>PAEA PK 22.900C/MONT - LOT VAITERUPE N 98711 PAEA</t>
        </is>
      </c>
      <c r="E585" s="17" t="inlineStr">
        <is>
          <t>Patenté (Personne Physique)</t>
        </is>
      </c>
      <c r="F585" s="17" t="inlineStr">
        <is>
          <t>Patenté</t>
        </is>
      </c>
      <c r="G585" s="16" t="inlineStr">
        <is>
          <t>4339Z</t>
        </is>
      </c>
      <c r="H585" s="16" t="inlineStr">
        <is>
          <t>M</t>
        </is>
      </c>
      <c r="I585" s="17" t="inlineStr">
        <is>
          <t>Métiers &amp; Artisanat</t>
        </is>
      </c>
      <c r="J585" s="18" t="n">
        <v>0</v>
      </c>
      <c r="K585" s="18" t="n">
        <v>1</v>
      </c>
      <c r="L585" s="17" t="inlineStr">
        <is>
          <t>12 1801 A</t>
        </is>
      </c>
      <c r="M585" s="17" t="inlineStr">
        <is>
          <t>M PITO RAI EDWIN HEIMANU JAMES</t>
        </is>
      </c>
      <c r="N585" s="17" t="inlineStr">
        <is>
          <t>Chef d entreprise</t>
        </is>
      </c>
      <c r="O585" s="18" t="inlineStr">
        <is>
          <t>13361</t>
        </is>
      </c>
    </row>
    <row r="586" ht="20" customHeight="1">
      <c r="A586" s="13" t="inlineStr">
        <is>
          <t>PAEA-CCISM-0585</t>
        </is>
      </c>
      <c r="B586" s="13" t="inlineStr">
        <is>
          <t>B44896</t>
        </is>
      </c>
      <c r="C586" s="14" t="inlineStr">
        <is>
          <t>PITO RONALD</t>
        </is>
      </c>
      <c r="D586" s="14" t="inlineStr">
        <is>
          <t>RTE DE LA VALLEE OROFERO 98711 PAEA</t>
        </is>
      </c>
      <c r="E586" s="14" t="inlineStr">
        <is>
          <t>Patenté (Personne Physique)</t>
        </is>
      </c>
      <c r="F586" s="14" t="inlineStr">
        <is>
          <t>Patenté</t>
        </is>
      </c>
      <c r="G586" s="13" t="inlineStr">
        <is>
          <t>4339Z</t>
        </is>
      </c>
      <c r="H586" s="13" t="inlineStr">
        <is>
          <t>M</t>
        </is>
      </c>
      <c r="I586" s="14" t="inlineStr">
        <is>
          <t>Métiers &amp; Artisanat</t>
        </is>
      </c>
      <c r="J586" s="15" t="n">
        <v>0</v>
      </c>
      <c r="K586" s="15" t="n">
        <v>1</v>
      </c>
      <c r="L586" s="14" t="inlineStr">
        <is>
          <t>15 821 A</t>
        </is>
      </c>
      <c r="M586" s="14" t="inlineStr">
        <is>
          <t>M PITO RONALD</t>
        </is>
      </c>
      <c r="N586" s="14" t="inlineStr">
        <is>
          <t>Chef d entreprise</t>
        </is>
      </c>
      <c r="O586" s="15" t="inlineStr">
        <is>
          <t>13362</t>
        </is>
      </c>
    </row>
    <row r="587" ht="20" customHeight="1">
      <c r="A587" s="16" t="inlineStr">
        <is>
          <t>PAEA-CCISM-0586</t>
        </is>
      </c>
      <c r="B587" s="16" t="inlineStr">
        <is>
          <t>460246</t>
        </is>
      </c>
      <c r="C587" s="17" t="inlineStr">
        <is>
          <t>PITO SERGE</t>
        </is>
      </c>
      <c r="D587" s="17" t="inlineStr">
        <is>
          <t>98711 PAEA</t>
        </is>
      </c>
      <c r="E587" s="17" t="inlineStr">
        <is>
          <t>Patenté (Personne Physique)</t>
        </is>
      </c>
      <c r="F587" s="17" t="inlineStr">
        <is>
          <t>Patenté</t>
        </is>
      </c>
      <c r="G587" s="16" t="inlineStr">
        <is>
          <t>4334Z</t>
        </is>
      </c>
      <c r="H587" s="16" t="inlineStr">
        <is>
          <t>M</t>
        </is>
      </c>
      <c r="I587" s="17" t="inlineStr">
        <is>
          <t>Métiers &amp; Artisanat</t>
        </is>
      </c>
      <c r="J587" s="18" t="n">
        <v>0</v>
      </c>
      <c r="K587" s="18" t="n">
        <v>1</v>
      </c>
      <c r="L587" s="17" t="inlineStr">
        <is>
          <t>24 1664 A</t>
        </is>
      </c>
      <c r="M587" s="17" t="inlineStr">
        <is>
          <t>M PITO SERGE</t>
        </is>
      </c>
      <c r="N587" s="17" t="inlineStr">
        <is>
          <t>Chef d entreprise</t>
        </is>
      </c>
      <c r="O587" s="18" t="inlineStr">
        <is>
          <t>13364</t>
        </is>
      </c>
    </row>
    <row r="588" ht="20" customHeight="1">
      <c r="A588" s="13" t="inlineStr">
        <is>
          <t>PAEA-CCISM-0587</t>
        </is>
      </c>
      <c r="B588" s="13" t="inlineStr">
        <is>
          <t>E11773</t>
        </is>
      </c>
      <c r="C588" s="14" t="inlineStr">
        <is>
          <t>PITO TUHIVA</t>
        </is>
      </c>
      <c r="D588" s="14" t="inlineStr">
        <is>
          <t>PK 19,800 CT/MONT SERVITUDE PITO BP 330526 98711 PAEA</t>
        </is>
      </c>
      <c r="E588" s="14" t="inlineStr">
        <is>
          <t>Patenté (Personne Physique)</t>
        </is>
      </c>
      <c r="F588" s="14" t="inlineStr">
        <is>
          <t>Patenté</t>
        </is>
      </c>
      <c r="G588" s="13" t="inlineStr">
        <is>
          <t>4520A</t>
        </is>
      </c>
      <c r="H588" s="13" t="inlineStr">
        <is>
          <t>M</t>
        </is>
      </c>
      <c r="I588" s="14" t="inlineStr">
        <is>
          <t>Métiers &amp; Artisanat</t>
        </is>
      </c>
      <c r="J588" s="15" t="n">
        <v>0</v>
      </c>
      <c r="K588" s="15" t="n">
        <v>1</v>
      </c>
      <c r="L588" s="14" t="inlineStr">
        <is>
          <t>21 343 A</t>
        </is>
      </c>
      <c r="M588" s="14" t="inlineStr">
        <is>
          <t>M PITO TUHIVA</t>
        </is>
      </c>
      <c r="N588" s="14" t="inlineStr">
        <is>
          <t>Chef d entreprise</t>
        </is>
      </c>
      <c r="O588" s="15" t="inlineStr">
        <is>
          <t>13367</t>
        </is>
      </c>
    </row>
    <row r="589" ht="20" customHeight="1">
      <c r="A589" s="16" t="inlineStr">
        <is>
          <t>PAEA-CCISM-0588</t>
        </is>
      </c>
      <c r="B589" s="16" t="inlineStr">
        <is>
          <t>803031</t>
        </is>
      </c>
      <c r="C589" s="17" t="inlineStr">
        <is>
          <t>PITTMAN MINA TEAMANA</t>
        </is>
      </c>
      <c r="D589" s="17" t="inlineStr">
        <is>
          <t>RES LES JARDINS DE PAEA 98711 PAEA</t>
        </is>
      </c>
      <c r="E589" s="17" t="inlineStr">
        <is>
          <t>Patenté (Personne Physique)</t>
        </is>
      </c>
      <c r="F589" s="17" t="inlineStr">
        <is>
          <t>Patenté</t>
        </is>
      </c>
      <c r="G589" s="16" t="inlineStr">
        <is>
          <t>3213Z</t>
        </is>
      </c>
      <c r="H589" s="16" t="inlineStr">
        <is>
          <t>M</t>
        </is>
      </c>
      <c r="I589" s="17" t="inlineStr">
        <is>
          <t>Métiers &amp; Artisanat</t>
        </is>
      </c>
      <c r="J589" s="18" t="n">
        <v>0</v>
      </c>
      <c r="K589" s="18" t="n">
        <v>1</v>
      </c>
      <c r="L589" s="17" t="inlineStr">
        <is>
          <t>11 879 A</t>
        </is>
      </c>
      <c r="M589" s="17" t="inlineStr">
        <is>
          <t>Mme PITTMAN MINA TEAMANA</t>
        </is>
      </c>
      <c r="N589" s="17" t="inlineStr">
        <is>
          <t>Chef d entreprise</t>
        </is>
      </c>
      <c r="O589" s="18" t="inlineStr">
        <is>
          <t>13372</t>
        </is>
      </c>
    </row>
    <row r="590" ht="20" customHeight="1">
      <c r="A590" s="13" t="inlineStr">
        <is>
          <t>PAEA-CCISM-0589</t>
        </is>
      </c>
      <c r="B590" s="13" t="inlineStr">
        <is>
          <t>905570</t>
        </is>
      </c>
      <c r="C590" s="14" t="inlineStr">
        <is>
          <t>PLACOTECH</t>
        </is>
      </c>
      <c r="D590" s="14" t="inlineStr">
        <is>
          <t>PAEA PK 22.900 C/MONT - SERV. TEIRI 98711 PAEA</t>
        </is>
      </c>
      <c r="E590" s="14" t="inlineStr">
        <is>
          <t>SARL</t>
        </is>
      </c>
      <c r="F590" s="14" t="inlineStr">
        <is>
          <t>Société</t>
        </is>
      </c>
      <c r="G590" s="13" t="inlineStr">
        <is>
          <t>4331Z</t>
        </is>
      </c>
      <c r="H590" s="13" t="inlineStr">
        <is>
          <t>M</t>
        </is>
      </c>
      <c r="I590" s="14" t="inlineStr">
        <is>
          <t>Métiers &amp; Artisanat</t>
        </is>
      </c>
      <c r="J590" s="15" t="n">
        <v>0</v>
      </c>
      <c r="K590" s="15" t="n">
        <v>1</v>
      </c>
      <c r="L590" s="14" t="inlineStr">
        <is>
          <t>09 127 B</t>
        </is>
      </c>
      <c r="M590" s="14" t="inlineStr">
        <is>
          <t>Mme DEXTER YASMINA MOEA AHUURA</t>
        </is>
      </c>
      <c r="N590" s="14" t="inlineStr">
        <is>
          <t>Gérant</t>
        </is>
      </c>
      <c r="O590" s="15" t="inlineStr">
        <is>
          <t>13379</t>
        </is>
      </c>
    </row>
    <row r="591" ht="20" customHeight="1">
      <c r="A591" s="16" t="inlineStr">
        <is>
          <t>PAEA-CCISM-0590</t>
        </is>
      </c>
      <c r="B591" s="16" t="inlineStr">
        <is>
          <t>273961</t>
        </is>
      </c>
      <c r="C591" s="17" t="inlineStr">
        <is>
          <t>PLANCHEREL PHILIPPE</t>
        </is>
      </c>
      <c r="D591" s="17" t="inlineStr">
        <is>
          <t>PAEA PK 21.500 C/MONT 98711 PAEA</t>
        </is>
      </c>
      <c r="E591" s="17" t="inlineStr">
        <is>
          <t>Patenté (Personne Physique)</t>
        </is>
      </c>
      <c r="F591" s="17" t="inlineStr">
        <is>
          <t>Patenté</t>
        </is>
      </c>
      <c r="G591" s="16" t="inlineStr">
        <is>
          <t>4391A</t>
        </is>
      </c>
      <c r="H591" s="16" t="inlineStr">
        <is>
          <t>M</t>
        </is>
      </c>
      <c r="I591" s="17" t="inlineStr">
        <is>
          <t>Métiers &amp; Artisanat</t>
        </is>
      </c>
      <c r="J591" s="18" t="n">
        <v>0</v>
      </c>
      <c r="K591" s="18" t="n">
        <v>1</v>
      </c>
      <c r="L591" s="17" t="inlineStr">
        <is>
          <t>21042 A</t>
        </is>
      </c>
      <c r="M591" s="17" t="inlineStr">
        <is>
          <t>M PLANCHEREL PHILIPPE</t>
        </is>
      </c>
      <c r="N591" s="17" t="inlineStr">
        <is>
          <t>Chef d entreprise</t>
        </is>
      </c>
      <c r="O591" s="18" t="inlineStr">
        <is>
          <t>13381</t>
        </is>
      </c>
    </row>
    <row r="592" ht="20" customHeight="1">
      <c r="A592" s="13" t="inlineStr">
        <is>
          <t>PAEA-CCISM-0591</t>
        </is>
      </c>
      <c r="B592" s="13" t="inlineStr">
        <is>
          <t>D09267</t>
        </is>
      </c>
      <c r="C592" s="14" t="inlineStr">
        <is>
          <t>POHUE ROSE MAREVA</t>
        </is>
      </c>
      <c r="D592" s="14" t="inlineStr">
        <is>
          <t>98711 PAEA</t>
        </is>
      </c>
      <c r="E592" s="14" t="inlineStr">
        <is>
          <t>Patenté (Personne Physique)</t>
        </is>
      </c>
      <c r="F592" s="14" t="inlineStr">
        <is>
          <t>Patenté</t>
        </is>
      </c>
      <c r="G592" s="13" t="inlineStr">
        <is>
          <t>8121Z</t>
        </is>
      </c>
      <c r="H592" s="13" t="inlineStr">
        <is>
          <t>M</t>
        </is>
      </c>
      <c r="I592" s="14" t="inlineStr">
        <is>
          <t>Métiers &amp; Artisanat</t>
        </is>
      </c>
      <c r="J592" s="15" t="n">
        <v>0</v>
      </c>
      <c r="K592" s="15" t="n">
        <v>1</v>
      </c>
      <c r="L592" s="14" t="inlineStr">
        <is>
          <t>19 51 A</t>
        </is>
      </c>
      <c r="M592" s="14" t="inlineStr">
        <is>
          <t>Mme POHUE ROSE MAREVA</t>
        </is>
      </c>
      <c r="N592" s="14" t="inlineStr">
        <is>
          <t>Chef d entreprise</t>
        </is>
      </c>
      <c r="O592" s="15" t="inlineStr">
        <is>
          <t>13407</t>
        </is>
      </c>
    </row>
    <row r="593" ht="20" customHeight="1">
      <c r="A593" s="16" t="inlineStr">
        <is>
          <t>PAEA-CCISM-0592</t>
        </is>
      </c>
      <c r="B593" s="16" t="inlineStr">
        <is>
          <t>851592</t>
        </is>
      </c>
      <c r="C593" s="17" t="inlineStr">
        <is>
          <t>POLYNESIE PLOMBERIE</t>
        </is>
      </c>
      <c r="D593" s="17" t="inlineStr">
        <is>
          <t>PAEA PK 20.200 C/MER 98711 PAEA</t>
        </is>
      </c>
      <c r="E593" s="17" t="inlineStr">
        <is>
          <t>SNC</t>
        </is>
      </c>
      <c r="F593" s="17" t="inlineStr">
        <is>
          <t>Société</t>
        </is>
      </c>
      <c r="G593" s="16" t="inlineStr">
        <is>
          <t>4322A</t>
        </is>
      </c>
      <c r="H593" s="16" t="inlineStr">
        <is>
          <t>M</t>
        </is>
      </c>
      <c r="I593" s="17" t="inlineStr">
        <is>
          <t>Métiers &amp; Artisanat</t>
        </is>
      </c>
      <c r="J593" s="18" t="n">
        <v>0</v>
      </c>
      <c r="K593" s="18" t="n">
        <v>1</v>
      </c>
      <c r="L593" s="17" t="inlineStr">
        <is>
          <t>08 31 B</t>
        </is>
      </c>
      <c r="M593" s="17" t="inlineStr">
        <is>
          <t>M BURGOS PATRICE LAURENT</t>
        </is>
      </c>
      <c r="N593" s="17" t="inlineStr"/>
      <c r="O593" s="18" t="inlineStr">
        <is>
          <t>13434</t>
        </is>
      </c>
    </row>
    <row r="594" ht="20" customHeight="1">
      <c r="A594" s="13" t="inlineStr">
        <is>
          <t>PAEA-CCISM-0593</t>
        </is>
      </c>
      <c r="B594" s="13" t="inlineStr">
        <is>
          <t>D83320</t>
        </is>
      </c>
      <c r="C594" s="14" t="inlineStr">
        <is>
          <t>POROI ARIIHEINUI</t>
        </is>
      </c>
      <c r="D594" s="14" t="inlineStr">
        <is>
          <t>RTE DU LOTISSEMENT PAPEHUE 98711 PAEA</t>
        </is>
      </c>
      <c r="E594" s="14" t="inlineStr">
        <is>
          <t>Patenté (Personne Physique)</t>
        </is>
      </c>
      <c r="F594" s="14" t="inlineStr">
        <is>
          <t>Patenté</t>
        </is>
      </c>
      <c r="G594" s="13" t="inlineStr">
        <is>
          <t>4339Z</t>
        </is>
      </c>
      <c r="H594" s="13" t="inlineStr">
        <is>
          <t>M</t>
        </is>
      </c>
      <c r="I594" s="14" t="inlineStr">
        <is>
          <t>Métiers &amp; Artisanat</t>
        </is>
      </c>
      <c r="J594" s="15" t="n">
        <v>0</v>
      </c>
      <c r="K594" s="15" t="n">
        <v>1</v>
      </c>
      <c r="L594" s="14" t="inlineStr">
        <is>
          <t>20 1598 A</t>
        </is>
      </c>
      <c r="M594" s="14" t="inlineStr">
        <is>
          <t>M POROI ARIIHEINUI</t>
        </is>
      </c>
      <c r="N594" s="14" t="inlineStr">
        <is>
          <t>Chef d entreprise</t>
        </is>
      </c>
      <c r="O594" s="15" t="inlineStr">
        <is>
          <t>13459</t>
        </is>
      </c>
    </row>
    <row r="595" ht="20" customHeight="1">
      <c r="A595" s="16" t="inlineStr">
        <is>
          <t>PAEA-CCISM-0594</t>
        </is>
      </c>
      <c r="B595" s="16" t="inlineStr">
        <is>
          <t>F25532</t>
        </is>
      </c>
      <c r="C595" s="17" t="inlineStr">
        <is>
          <t>POROI JOHN</t>
        </is>
      </c>
      <c r="D595" s="17" t="inlineStr">
        <is>
          <t>98711 PAEA</t>
        </is>
      </c>
      <c r="E595" s="17" t="inlineStr">
        <is>
          <t>Patenté (Personne Physique)</t>
        </is>
      </c>
      <c r="F595" s="17" t="inlineStr">
        <is>
          <t>Patenté</t>
        </is>
      </c>
      <c r="G595" s="16" t="inlineStr">
        <is>
          <t>8130Z</t>
        </is>
      </c>
      <c r="H595" s="16" t="inlineStr">
        <is>
          <t>M</t>
        </is>
      </c>
      <c r="I595" s="17" t="inlineStr">
        <is>
          <t>Métiers &amp; Artisanat</t>
        </is>
      </c>
      <c r="J595" s="18" t="n">
        <v>0</v>
      </c>
      <c r="K595" s="18" t="n">
        <v>1</v>
      </c>
      <c r="L595" s="17" t="inlineStr">
        <is>
          <t>23 977 A</t>
        </is>
      </c>
      <c r="M595" s="17" t="inlineStr">
        <is>
          <t>M POROI JOHN</t>
        </is>
      </c>
      <c r="N595" s="17" t="inlineStr">
        <is>
          <t>Chef d entreprise</t>
        </is>
      </c>
      <c r="O595" s="18" t="inlineStr">
        <is>
          <t>13462</t>
        </is>
      </c>
    </row>
    <row r="596" ht="20" customHeight="1">
      <c r="A596" s="13" t="inlineStr">
        <is>
          <t>PAEA-CCISM-0595</t>
        </is>
      </c>
      <c r="B596" s="13" t="inlineStr">
        <is>
          <t>E42810</t>
        </is>
      </c>
      <c r="C596" s="14" t="inlineStr">
        <is>
          <t>PORSENNI NEE RICHMOND HINATEA KEALOHA</t>
        </is>
      </c>
      <c r="D596" s="14" t="inlineStr">
        <is>
          <t>RTE RESIDENCE MANAVA N° 8 98711 PAEA</t>
        </is>
      </c>
      <c r="E596" s="14" t="inlineStr">
        <is>
          <t>Patenté (Personne Physique)</t>
        </is>
      </c>
      <c r="F596" s="14" t="inlineStr">
        <is>
          <t>Patenté</t>
        </is>
      </c>
      <c r="G596" s="13" t="inlineStr">
        <is>
          <t>1330Z</t>
        </is>
      </c>
      <c r="H596" s="13" t="inlineStr">
        <is>
          <t>M</t>
        </is>
      </c>
      <c r="I596" s="14" t="inlineStr">
        <is>
          <t>Métiers &amp; Artisanat</t>
        </is>
      </c>
      <c r="J596" s="15" t="n">
        <v>0</v>
      </c>
      <c r="K596" s="15" t="n">
        <v>1</v>
      </c>
      <c r="L596" s="14" t="inlineStr">
        <is>
          <t>21 2463 A</t>
        </is>
      </c>
      <c r="M596" s="14" t="inlineStr">
        <is>
          <t>Mme PORSENNI (Née RICHMOND) HINATEA KEALOHA</t>
        </is>
      </c>
      <c r="N596" s="14" t="inlineStr">
        <is>
          <t>Chef d entreprise</t>
        </is>
      </c>
      <c r="O596" s="15" t="inlineStr">
        <is>
          <t>13466</t>
        </is>
      </c>
    </row>
    <row r="597" ht="20" customHeight="1">
      <c r="A597" s="16" t="inlineStr">
        <is>
          <t>PAEA-CCISM-0596</t>
        </is>
      </c>
      <c r="B597" s="16" t="inlineStr">
        <is>
          <t>A45895</t>
        </is>
      </c>
      <c r="C597" s="17" t="inlineStr">
        <is>
          <t>POU TEMARU</t>
        </is>
      </c>
      <c r="D597" s="17" t="inlineStr">
        <is>
          <t>98711 PAEA</t>
        </is>
      </c>
      <c r="E597" s="17" t="inlineStr">
        <is>
          <t>Patenté (Personne Physique)</t>
        </is>
      </c>
      <c r="F597" s="17" t="inlineStr">
        <is>
          <t>Patenté</t>
        </is>
      </c>
      <c r="G597" s="16" t="inlineStr">
        <is>
          <t>4321A</t>
        </is>
      </c>
      <c r="H597" s="16" t="inlineStr">
        <is>
          <t>M</t>
        </is>
      </c>
      <c r="I597" s="17" t="inlineStr">
        <is>
          <t>Métiers &amp; Artisanat</t>
        </is>
      </c>
      <c r="J597" s="18" t="n">
        <v>0</v>
      </c>
      <c r="K597" s="18" t="n">
        <v>1</v>
      </c>
      <c r="L597" s="17" t="inlineStr">
        <is>
          <t>18 1933 A</t>
        </is>
      </c>
      <c r="M597" s="17" t="inlineStr">
        <is>
          <t>M POU TEMARU</t>
        </is>
      </c>
      <c r="N597" s="17" t="inlineStr">
        <is>
          <t>Chef d entreprise</t>
        </is>
      </c>
      <c r="O597" s="18" t="inlineStr">
        <is>
          <t>13480</t>
        </is>
      </c>
    </row>
    <row r="598" ht="20" customHeight="1">
      <c r="A598" s="13" t="inlineStr">
        <is>
          <t>PAEA-CCISM-0597</t>
        </is>
      </c>
      <c r="B598" s="13" t="inlineStr">
        <is>
          <t>942490</t>
        </is>
      </c>
      <c r="C598" s="14" t="inlineStr">
        <is>
          <t>POUIRA POEVAI</t>
        </is>
      </c>
      <c r="D598" s="14" t="inlineStr">
        <is>
          <t>SERVITUDE LEHARTEL 98711 PAEA</t>
        </is>
      </c>
      <c r="E598" s="14" t="inlineStr">
        <is>
          <t>Patenté (Personne Physique)</t>
        </is>
      </c>
      <c r="F598" s="14" t="inlineStr">
        <is>
          <t>Patenté</t>
        </is>
      </c>
      <c r="G598" s="13" t="inlineStr">
        <is>
          <t>8121Z</t>
        </is>
      </c>
      <c r="H598" s="13" t="inlineStr">
        <is>
          <t>M</t>
        </is>
      </c>
      <c r="I598" s="14" t="inlineStr">
        <is>
          <t>Métiers &amp; Artisanat</t>
        </is>
      </c>
      <c r="J598" s="15" t="n">
        <v>0</v>
      </c>
      <c r="K598" s="15" t="n">
        <v>1</v>
      </c>
      <c r="L598" s="14" t="inlineStr">
        <is>
          <t>24 1438 A</t>
        </is>
      </c>
      <c r="M598" s="14" t="inlineStr">
        <is>
          <t>Mme POUIRA POEVAI</t>
        </is>
      </c>
      <c r="N598" s="14" t="inlineStr">
        <is>
          <t>Chef d entreprise</t>
        </is>
      </c>
      <c r="O598" s="15" t="inlineStr">
        <is>
          <t>13488</t>
        </is>
      </c>
    </row>
    <row r="599" ht="20" customHeight="1">
      <c r="A599" s="16" t="inlineStr">
        <is>
          <t>PAEA-CCISM-0598</t>
        </is>
      </c>
      <c r="B599" s="16" t="inlineStr">
        <is>
          <t>G06647</t>
        </is>
      </c>
      <c r="C599" s="17" t="inlineStr">
        <is>
          <t>PUHETINI NEE TUFARIUA MAIMITI</t>
        </is>
      </c>
      <c r="D599" s="17" t="inlineStr">
        <is>
          <t>LOT 3 VALLEE DE OROFERO TERRE RAIPAI II, SECTION AK 339 98711 PAEA</t>
        </is>
      </c>
      <c r="E599" s="17" t="inlineStr">
        <is>
          <t>Patenté (Personne Physique)</t>
        </is>
      </c>
      <c r="F599" s="17" t="inlineStr">
        <is>
          <t>Patenté</t>
        </is>
      </c>
      <c r="G599" s="16" t="inlineStr">
        <is>
          <t>8121Z</t>
        </is>
      </c>
      <c r="H599" s="16" t="inlineStr">
        <is>
          <t>M</t>
        </is>
      </c>
      <c r="I599" s="17" t="inlineStr">
        <is>
          <t>Métiers &amp; Artisanat</t>
        </is>
      </c>
      <c r="J599" s="18" t="n">
        <v>0</v>
      </c>
      <c r="K599" s="18" t="n">
        <v>1</v>
      </c>
      <c r="L599" s="17" t="inlineStr">
        <is>
          <t>25 78 A</t>
        </is>
      </c>
      <c r="M599" s="17" t="inlineStr">
        <is>
          <t>Mme PUHETINI (Née TUFARIUA) MAIMITI</t>
        </is>
      </c>
      <c r="N599" s="17" t="inlineStr">
        <is>
          <t>Chef d entreprise</t>
        </is>
      </c>
      <c r="O599" s="18" t="inlineStr">
        <is>
          <t>13547</t>
        </is>
      </c>
    </row>
    <row r="600" ht="20" customHeight="1">
      <c r="A600" s="13" t="inlineStr">
        <is>
          <t>PAEA-CCISM-0599</t>
        </is>
      </c>
      <c r="B600" s="13" t="inlineStr">
        <is>
          <t>F33551</t>
        </is>
      </c>
      <c r="C600" s="14" t="inlineStr">
        <is>
          <t>QUELEN ALEXANDRE CLAUDE</t>
        </is>
      </c>
      <c r="D600" s="14" t="inlineStr">
        <is>
          <t>98711 PAEA</t>
        </is>
      </c>
      <c r="E600" s="14" t="inlineStr">
        <is>
          <t>Patenté (Personne Physique)</t>
        </is>
      </c>
      <c r="F600" s="14" t="inlineStr">
        <is>
          <t>Patenté</t>
        </is>
      </c>
      <c r="G600" s="13" t="inlineStr">
        <is>
          <t>4291Z</t>
        </is>
      </c>
      <c r="H600" s="13" t="inlineStr">
        <is>
          <t>M</t>
        </is>
      </c>
      <c r="I600" s="14" t="inlineStr">
        <is>
          <t>Métiers &amp; Artisanat</t>
        </is>
      </c>
      <c r="J600" s="15" t="n">
        <v>0</v>
      </c>
      <c r="K600" s="15" t="n">
        <v>1</v>
      </c>
      <c r="L600" s="14" t="inlineStr">
        <is>
          <t>23 2705 A</t>
        </is>
      </c>
      <c r="M600" s="14" t="inlineStr">
        <is>
          <t>M QUELEN ALEXANDRE CLAUDE</t>
        </is>
      </c>
      <c r="N600" s="14" t="inlineStr">
        <is>
          <t>Chef d entreprise</t>
        </is>
      </c>
      <c r="O600" s="15" t="inlineStr">
        <is>
          <t>13618</t>
        </is>
      </c>
    </row>
    <row r="601" ht="20" customHeight="1">
      <c r="A601" s="16" t="inlineStr">
        <is>
          <t>PAEA-CCISM-0600</t>
        </is>
      </c>
      <c r="B601" s="16" t="inlineStr">
        <is>
          <t>D41732</t>
        </is>
      </c>
      <c r="C601" s="17" t="inlineStr">
        <is>
          <t>RACHAL ATEA</t>
        </is>
      </c>
      <c r="D601" s="17" t="inlineStr">
        <is>
          <t>RTE LOTISSEMENT BOURNE 98711 PAEA</t>
        </is>
      </c>
      <c r="E601" s="17" t="inlineStr">
        <is>
          <t>Patenté (Personne Physique)</t>
        </is>
      </c>
      <c r="F601" s="17" t="inlineStr">
        <is>
          <t>Patenté</t>
        </is>
      </c>
      <c r="G601" s="16" t="inlineStr">
        <is>
          <t>3299Z</t>
        </is>
      </c>
      <c r="H601" s="16" t="inlineStr">
        <is>
          <t>M</t>
        </is>
      </c>
      <c r="I601" s="17" t="inlineStr">
        <is>
          <t>Métiers &amp; Artisanat</t>
        </is>
      </c>
      <c r="J601" s="18" t="n">
        <v>0</v>
      </c>
      <c r="K601" s="18" t="n">
        <v>1</v>
      </c>
      <c r="L601" s="17" t="inlineStr">
        <is>
          <t>19 2419 A</t>
        </is>
      </c>
      <c r="M601" s="17" t="inlineStr">
        <is>
          <t>Mme RACHAL ATEA</t>
        </is>
      </c>
      <c r="N601" s="17" t="inlineStr">
        <is>
          <t>Chef d entreprise</t>
        </is>
      </c>
      <c r="O601" s="18" t="inlineStr">
        <is>
          <t>13645</t>
        </is>
      </c>
    </row>
    <row r="602" ht="20" customHeight="1">
      <c r="A602" s="13" t="inlineStr">
        <is>
          <t>PAEA-CCISM-0601</t>
        </is>
      </c>
      <c r="B602" s="13" t="inlineStr">
        <is>
          <t>G03313</t>
        </is>
      </c>
      <c r="C602" s="14" t="inlineStr">
        <is>
          <t>RAIMBAULT JOSEPH HAU-ARII</t>
        </is>
      </c>
      <c r="D602" s="14" t="inlineStr">
        <is>
          <t>DERRIERE TEMPLE PROTESTANT 98711 PAEA</t>
        </is>
      </c>
      <c r="E602" s="14" t="inlineStr">
        <is>
          <t>Patenté (Personne Physique)</t>
        </is>
      </c>
      <c r="F602" s="14" t="inlineStr">
        <is>
          <t>Patenté</t>
        </is>
      </c>
      <c r="G602" s="13" t="inlineStr">
        <is>
          <t>8130Z</t>
        </is>
      </c>
      <c r="H602" s="13" t="inlineStr">
        <is>
          <t>M</t>
        </is>
      </c>
      <c r="I602" s="14" t="inlineStr">
        <is>
          <t>Métiers &amp; Artisanat</t>
        </is>
      </c>
      <c r="J602" s="15" t="n">
        <v>0</v>
      </c>
      <c r="K602" s="15" t="n">
        <v>1</v>
      </c>
      <c r="L602" s="14" t="inlineStr">
        <is>
          <t>24 2469 A</t>
        </is>
      </c>
      <c r="M602" s="14" t="inlineStr">
        <is>
          <t>M RAIMBAULT JOSEPH HAU-ARII</t>
        </is>
      </c>
      <c r="N602" s="14" t="inlineStr">
        <is>
          <t>Chef d entreprise</t>
        </is>
      </c>
      <c r="O602" s="15" t="inlineStr">
        <is>
          <t>13668</t>
        </is>
      </c>
    </row>
    <row r="603" ht="20" customHeight="1">
      <c r="A603" s="16" t="inlineStr">
        <is>
          <t>PAEA-CCISM-0602</t>
        </is>
      </c>
      <c r="B603" s="16" t="inlineStr">
        <is>
          <t>D45329</t>
        </is>
      </c>
      <c r="C603" s="17" t="inlineStr">
        <is>
          <t>RANDON SEBASTIEN DANIEL</t>
        </is>
      </c>
      <c r="D603" s="17" t="inlineStr">
        <is>
          <t>LOTIS LOU CHAO N° 11 98711 PAEA</t>
        </is>
      </c>
      <c r="E603" s="17" t="inlineStr">
        <is>
          <t>Patenté (Personne Physique)</t>
        </is>
      </c>
      <c r="F603" s="17" t="inlineStr">
        <is>
          <t>Patenté</t>
        </is>
      </c>
      <c r="G603" s="16" t="inlineStr">
        <is>
          <t>4520A</t>
        </is>
      </c>
      <c r="H603" s="16" t="inlineStr">
        <is>
          <t>M</t>
        </is>
      </c>
      <c r="I603" s="17" t="inlineStr">
        <is>
          <t>Métiers &amp; Artisanat</t>
        </is>
      </c>
      <c r="J603" s="18" t="n">
        <v>0</v>
      </c>
      <c r="K603" s="18" t="n">
        <v>1</v>
      </c>
      <c r="L603" s="17" t="inlineStr">
        <is>
          <t>19 3362 A</t>
        </is>
      </c>
      <c r="M603" s="17" t="inlineStr">
        <is>
          <t>M RANDON SEBASTIEN DANIEL</t>
        </is>
      </c>
      <c r="N603" s="17" t="inlineStr">
        <is>
          <t>Chef d entreprise</t>
        </is>
      </c>
      <c r="O603" s="18" t="inlineStr">
        <is>
          <t>13693</t>
        </is>
      </c>
    </row>
    <row r="604" ht="20" customHeight="1">
      <c r="A604" s="13" t="inlineStr">
        <is>
          <t>PAEA-CCISM-0603</t>
        </is>
      </c>
      <c r="B604" s="13" t="inlineStr">
        <is>
          <t>E04950</t>
        </is>
      </c>
      <c r="C604" s="14" t="inlineStr">
        <is>
          <t>RATIA ILONA</t>
        </is>
      </c>
      <c r="D604" s="14" t="inlineStr">
        <is>
          <t>SERV PAPEHUE ROUTE DU BASSIN PAPEHUE 98711 PAEA</t>
        </is>
      </c>
      <c r="E604" s="14" t="inlineStr">
        <is>
          <t>Patenté (Personne Physique)</t>
        </is>
      </c>
      <c r="F604" s="14" t="inlineStr">
        <is>
          <t>Patenté</t>
        </is>
      </c>
      <c r="G604" s="13" t="inlineStr">
        <is>
          <t>9602B</t>
        </is>
      </c>
      <c r="H604" s="13" t="inlineStr">
        <is>
          <t>M</t>
        </is>
      </c>
      <c r="I604" s="14" t="inlineStr">
        <is>
          <t>Métiers &amp; Artisanat</t>
        </is>
      </c>
      <c r="J604" s="15" t="n">
        <v>0</v>
      </c>
      <c r="K604" s="15" t="n">
        <v>1</v>
      </c>
      <c r="L604" s="14" t="inlineStr">
        <is>
          <t>20 3014 A</t>
        </is>
      </c>
      <c r="M604" s="14" t="inlineStr">
        <is>
          <t>Mme RATIA ILONA</t>
        </is>
      </c>
      <c r="N604" s="14" t="inlineStr">
        <is>
          <t>Chef d entreprise</t>
        </is>
      </c>
      <c r="O604" s="15" t="inlineStr">
        <is>
          <t>13715</t>
        </is>
      </c>
    </row>
    <row r="605" ht="20" customHeight="1">
      <c r="A605" s="16" t="inlineStr">
        <is>
          <t>PAEA-CCISM-0604</t>
        </is>
      </c>
      <c r="B605" s="16" t="inlineStr">
        <is>
          <t>481622</t>
        </is>
      </c>
      <c r="C605" s="17" t="inlineStr">
        <is>
          <t>RAUFAUORE NEE TEHIHIPO GEORGETTE</t>
        </is>
      </c>
      <c r="D605" s="17" t="inlineStr">
        <is>
          <t>98711 PAEA</t>
        </is>
      </c>
      <c r="E605" s="17" t="inlineStr">
        <is>
          <t>Patenté (Personne Physique)</t>
        </is>
      </c>
      <c r="F605" s="17" t="inlineStr">
        <is>
          <t>Patenté</t>
        </is>
      </c>
      <c r="G605" s="16" t="inlineStr">
        <is>
          <t>1413Z</t>
        </is>
      </c>
      <c r="H605" s="16" t="inlineStr">
        <is>
          <t>M</t>
        </is>
      </c>
      <c r="I605" s="17" t="inlineStr">
        <is>
          <t>Métiers &amp; Artisanat</t>
        </is>
      </c>
      <c r="J605" s="18" t="n">
        <v>0</v>
      </c>
      <c r="K605" s="18" t="n">
        <v>1</v>
      </c>
      <c r="L605" s="17" t="inlineStr">
        <is>
          <t>20528 A</t>
        </is>
      </c>
      <c r="M605" s="17" t="inlineStr">
        <is>
          <t>Mme RAUFAUORE (Née TEHIHIPO) GEORGETTE</t>
        </is>
      </c>
      <c r="N605" s="17" t="inlineStr">
        <is>
          <t>Chef d entreprise</t>
        </is>
      </c>
      <c r="O605" s="18" t="inlineStr">
        <is>
          <t>13728</t>
        </is>
      </c>
    </row>
    <row r="606" ht="20" customHeight="1">
      <c r="A606" s="13" t="inlineStr">
        <is>
          <t>PAEA-CCISM-0605</t>
        </is>
      </c>
      <c r="B606" s="13" t="inlineStr">
        <is>
          <t>E56489</t>
        </is>
      </c>
      <c r="C606" s="14" t="inlineStr">
        <is>
          <t>RENQUET DIDIER</t>
        </is>
      </c>
      <c r="D606" s="14" t="inlineStr">
        <is>
          <t>VALLEE OROFERO LOTI. TAREVAREVA 98711 PAEA</t>
        </is>
      </c>
      <c r="E606" s="14" t="inlineStr">
        <is>
          <t>Patenté (Personne Physique)</t>
        </is>
      </c>
      <c r="F606" s="14" t="inlineStr">
        <is>
          <t>Patenté</t>
        </is>
      </c>
      <c r="G606" s="13" t="inlineStr">
        <is>
          <t>3314Z</t>
        </is>
      </c>
      <c r="H606" s="13" t="inlineStr">
        <is>
          <t>M</t>
        </is>
      </c>
      <c r="I606" s="14" t="inlineStr">
        <is>
          <t>Métiers &amp; Artisanat</t>
        </is>
      </c>
      <c r="J606" s="15" t="n">
        <v>0</v>
      </c>
      <c r="K606" s="15" t="n">
        <v>1</v>
      </c>
      <c r="L606" s="14" t="inlineStr">
        <is>
          <t>21 3291 A</t>
        </is>
      </c>
      <c r="M606" s="14" t="inlineStr">
        <is>
          <t>M RENQUET DIDIER</t>
        </is>
      </c>
      <c r="N606" s="14" t="inlineStr">
        <is>
          <t>Chef d entreprise</t>
        </is>
      </c>
      <c r="O606" s="15" t="inlineStr">
        <is>
          <t>13793</t>
        </is>
      </c>
    </row>
    <row r="607" ht="20" customHeight="1">
      <c r="A607" s="16" t="inlineStr">
        <is>
          <t>PAEA-CCISM-0606</t>
        </is>
      </c>
      <c r="B607" s="16" t="inlineStr">
        <is>
          <t>573592</t>
        </is>
      </c>
      <c r="C607" s="17" t="inlineStr">
        <is>
          <t>RENVOYE JAMES ARII TEMAIOTUA</t>
        </is>
      </c>
      <c r="D607" s="17" t="inlineStr">
        <is>
          <t>PAEA PK 21.900 C/MONT 98711 PAEA</t>
        </is>
      </c>
      <c r="E607" s="17" t="inlineStr">
        <is>
          <t>Patenté (Personne Physique)</t>
        </is>
      </c>
      <c r="F607" s="17" t="inlineStr">
        <is>
          <t>Patenté</t>
        </is>
      </c>
      <c r="G607" s="16" t="inlineStr">
        <is>
          <t>4520A</t>
        </is>
      </c>
      <c r="H607" s="16" t="inlineStr">
        <is>
          <t>M</t>
        </is>
      </c>
      <c r="I607" s="17" t="inlineStr">
        <is>
          <t>Métiers &amp; Artisanat</t>
        </is>
      </c>
      <c r="J607" s="18" t="n">
        <v>0</v>
      </c>
      <c r="K607" s="18" t="n">
        <v>1</v>
      </c>
      <c r="L607" s="17" t="inlineStr">
        <is>
          <t>42224 A</t>
        </is>
      </c>
      <c r="M607" s="17" t="inlineStr">
        <is>
          <t>M RENVOYE JAMES ARII TEMAIOTUA</t>
        </is>
      </c>
      <c r="N607" s="17" t="inlineStr">
        <is>
          <t>Chef d entreprise</t>
        </is>
      </c>
      <c r="O607" s="18" t="inlineStr">
        <is>
          <t>13794</t>
        </is>
      </c>
    </row>
    <row r="608" ht="20" customHeight="1">
      <c r="A608" s="13" t="inlineStr">
        <is>
          <t>PAEA-CCISM-0607</t>
        </is>
      </c>
      <c r="B608" s="13" t="inlineStr">
        <is>
          <t>A08638</t>
        </is>
      </c>
      <c r="C608" s="14" t="inlineStr">
        <is>
          <t>RERE LEWIS</t>
        </is>
      </c>
      <c r="D608" s="14" t="inlineStr">
        <is>
          <t>RTE DU LOTISSEMENT CPS LOT CPS 33 98711 PAEA</t>
        </is>
      </c>
      <c r="E608" s="14" t="inlineStr">
        <is>
          <t>Patenté (Personne Physique)</t>
        </is>
      </c>
      <c r="F608" s="14" t="inlineStr">
        <is>
          <t>Patenté</t>
        </is>
      </c>
      <c r="G608" s="13" t="inlineStr">
        <is>
          <t>4339Z</t>
        </is>
      </c>
      <c r="H608" s="13" t="inlineStr">
        <is>
          <t>M</t>
        </is>
      </c>
      <c r="I608" s="14" t="inlineStr">
        <is>
          <t>Métiers &amp; Artisanat</t>
        </is>
      </c>
      <c r="J608" s="15" t="n">
        <v>0</v>
      </c>
      <c r="K608" s="15" t="n">
        <v>1</v>
      </c>
      <c r="L608" s="14" t="inlineStr">
        <is>
          <t>20 1153 A</t>
        </is>
      </c>
      <c r="M608" s="14" t="inlineStr">
        <is>
          <t>M RERE LEWIS</t>
        </is>
      </c>
      <c r="N608" s="14" t="inlineStr">
        <is>
          <t>Chef d entreprise</t>
        </is>
      </c>
      <c r="O608" s="15" t="inlineStr">
        <is>
          <t>13802</t>
        </is>
      </c>
    </row>
    <row r="609" ht="20" customHeight="1">
      <c r="A609" s="16" t="inlineStr">
        <is>
          <t>PAEA-CCISM-0608</t>
        </is>
      </c>
      <c r="B609" s="16" t="inlineStr">
        <is>
          <t>D17161</t>
        </is>
      </c>
      <c r="C609" s="17" t="inlineStr">
        <is>
          <t>RERE WILLIAMS TANE</t>
        </is>
      </c>
      <c r="D609" s="17" t="inlineStr">
        <is>
          <t>AOU'A 98711 PAEA</t>
        </is>
      </c>
      <c r="E609" s="17" t="inlineStr">
        <is>
          <t>Patenté (Personne Physique)</t>
        </is>
      </c>
      <c r="F609" s="17" t="inlineStr">
        <is>
          <t>Patenté</t>
        </is>
      </c>
      <c r="G609" s="16" t="inlineStr">
        <is>
          <t>8130Z</t>
        </is>
      </c>
      <c r="H609" s="16" t="inlineStr">
        <is>
          <t>M</t>
        </is>
      </c>
      <c r="I609" s="17" t="inlineStr">
        <is>
          <t>Métiers &amp; Artisanat</t>
        </is>
      </c>
      <c r="J609" s="18" t="n">
        <v>0</v>
      </c>
      <c r="K609" s="18" t="n">
        <v>1</v>
      </c>
      <c r="L609" s="17" t="inlineStr">
        <is>
          <t>19 590 A</t>
        </is>
      </c>
      <c r="M609" s="17" t="inlineStr">
        <is>
          <t>M RERE WILLIAMS TANE</t>
        </is>
      </c>
      <c r="N609" s="17" t="inlineStr">
        <is>
          <t>Chef d entreprise</t>
        </is>
      </c>
      <c r="O609" s="18" t="inlineStr">
        <is>
          <t>13803</t>
        </is>
      </c>
    </row>
    <row r="610" ht="20" customHeight="1">
      <c r="A610" s="13" t="inlineStr">
        <is>
          <t>PAEA-CCISM-0609</t>
        </is>
      </c>
      <c r="B610" s="13" t="inlineStr">
        <is>
          <t>F15954</t>
        </is>
      </c>
      <c r="C610" s="14" t="inlineStr">
        <is>
          <t>REY DORENCE, VAIAU</t>
        </is>
      </c>
      <c r="D610" s="14" t="inlineStr">
        <is>
          <t>98711 PAEA</t>
        </is>
      </c>
      <c r="E610" s="14" t="inlineStr">
        <is>
          <t>Patenté (Personne Physique)</t>
        </is>
      </c>
      <c r="F610" s="14" t="inlineStr">
        <is>
          <t>Patenté</t>
        </is>
      </c>
      <c r="G610" s="13" t="inlineStr">
        <is>
          <t>4520A</t>
        </is>
      </c>
      <c r="H610" s="13" t="inlineStr">
        <is>
          <t>M</t>
        </is>
      </c>
      <c r="I610" s="14" t="inlineStr">
        <is>
          <t>Métiers &amp; Artisanat</t>
        </is>
      </c>
      <c r="J610" s="15" t="n">
        <v>0</v>
      </c>
      <c r="K610" s="15" t="n">
        <v>1</v>
      </c>
      <c r="L610" s="14" t="inlineStr">
        <is>
          <t>23 187 A</t>
        </is>
      </c>
      <c r="M610" s="14" t="inlineStr">
        <is>
          <t>M REY DORENCE, VAIAU</t>
        </is>
      </c>
      <c r="N610" s="14" t="inlineStr">
        <is>
          <t>Chef d entreprise</t>
        </is>
      </c>
      <c r="O610" s="15" t="inlineStr">
        <is>
          <t>13819</t>
        </is>
      </c>
    </row>
    <row r="611" ht="20" customHeight="1">
      <c r="A611" s="16" t="inlineStr">
        <is>
          <t>PAEA-CCISM-0610</t>
        </is>
      </c>
      <c r="B611" s="16" t="inlineStr">
        <is>
          <t>G07769</t>
        </is>
      </c>
      <c r="C611" s="17" t="inlineStr">
        <is>
          <t>RICHARD ANTOINE</t>
        </is>
      </c>
      <c r="D611" s="17" t="inlineStr">
        <is>
          <t>RES LES BOUGAINVILLIERS 98711 PAEA</t>
        </is>
      </c>
      <c r="E611" s="17" t="inlineStr">
        <is>
          <t>Patenté (Personne Physique)</t>
        </is>
      </c>
      <c r="F611" s="17" t="inlineStr">
        <is>
          <t>Patenté</t>
        </is>
      </c>
      <c r="G611" s="16" t="inlineStr">
        <is>
          <t>4291Z</t>
        </is>
      </c>
      <c r="H611" s="16" t="inlineStr">
        <is>
          <t>M</t>
        </is>
      </c>
      <c r="I611" s="17" t="inlineStr">
        <is>
          <t>Métiers &amp; Artisanat</t>
        </is>
      </c>
      <c r="J611" s="18" t="n">
        <v>0</v>
      </c>
      <c r="K611" s="18" t="n">
        <v>1</v>
      </c>
      <c r="L611" s="17" t="inlineStr">
        <is>
          <t>25 277 A</t>
        </is>
      </c>
      <c r="M611" s="17" t="inlineStr">
        <is>
          <t>M RICHARD ANTOINE</t>
        </is>
      </c>
      <c r="N611" s="17" t="inlineStr">
        <is>
          <t>Chef d entreprise</t>
        </is>
      </c>
      <c r="O611" s="18" t="inlineStr">
        <is>
          <t>13837</t>
        </is>
      </c>
    </row>
    <row r="612" ht="20" customHeight="1">
      <c r="A612" s="13" t="inlineStr">
        <is>
          <t>PAEA-CCISM-0611</t>
        </is>
      </c>
      <c r="B612" s="13" t="inlineStr">
        <is>
          <t>024208</t>
        </is>
      </c>
      <c r="C612" s="14" t="inlineStr">
        <is>
          <t>RICHMOND FRANCK</t>
        </is>
      </c>
      <c r="D612" s="14" t="inlineStr">
        <is>
          <t>QUARTIER RICHMOND 98711 PAEA</t>
        </is>
      </c>
      <c r="E612" s="14" t="inlineStr">
        <is>
          <t>Patenté (Personne Physique)</t>
        </is>
      </c>
      <c r="F612" s="14" t="inlineStr">
        <is>
          <t>Patenté</t>
        </is>
      </c>
      <c r="G612" s="13" t="inlineStr">
        <is>
          <t>8130Z</t>
        </is>
      </c>
      <c r="H612" s="13" t="inlineStr">
        <is>
          <t>M</t>
        </is>
      </c>
      <c r="I612" s="14" t="inlineStr">
        <is>
          <t>Métiers &amp; Artisanat</t>
        </is>
      </c>
      <c r="J612" s="15" t="n">
        <v>0</v>
      </c>
      <c r="K612" s="15" t="n">
        <v>1</v>
      </c>
      <c r="L612" s="14" t="inlineStr">
        <is>
          <t>21 2519 A</t>
        </is>
      </c>
      <c r="M612" s="14" t="inlineStr">
        <is>
          <t>M RICHMOND FRANCK</t>
        </is>
      </c>
      <c r="N612" s="14" t="inlineStr">
        <is>
          <t>Chef d entreprise</t>
        </is>
      </c>
      <c r="O612" s="15" t="inlineStr">
        <is>
          <t>13847</t>
        </is>
      </c>
    </row>
    <row r="613" ht="20" customHeight="1">
      <c r="A613" s="16" t="inlineStr">
        <is>
          <t>PAEA-CCISM-0612</t>
        </is>
      </c>
      <c r="B613" s="16" t="inlineStr">
        <is>
          <t>613265</t>
        </is>
      </c>
      <c r="C613" s="17" t="inlineStr">
        <is>
          <t>RICHMOND LINDA RETINA</t>
        </is>
      </c>
      <c r="D613" s="17" t="inlineStr">
        <is>
          <t>PAEA PK 27.500 C/MONT 98711 PAEA</t>
        </is>
      </c>
      <c r="E613" s="17" t="inlineStr">
        <is>
          <t>Patenté (Personne Physique)</t>
        </is>
      </c>
      <c r="F613" s="17" t="inlineStr">
        <is>
          <t>Patenté</t>
        </is>
      </c>
      <c r="G613" s="16" t="inlineStr">
        <is>
          <t>9602A</t>
        </is>
      </c>
      <c r="H613" s="16" t="inlineStr">
        <is>
          <t>M</t>
        </is>
      </c>
      <c r="I613" s="17" t="inlineStr">
        <is>
          <t>Métiers &amp; Artisanat</t>
        </is>
      </c>
      <c r="J613" s="18" t="n">
        <v>0</v>
      </c>
      <c r="K613" s="18" t="n">
        <v>1</v>
      </c>
      <c r="L613" s="17" t="inlineStr">
        <is>
          <t>40110 A</t>
        </is>
      </c>
      <c r="M613" s="17" t="inlineStr">
        <is>
          <t>Mme RICHMOND LINDA RETINA</t>
        </is>
      </c>
      <c r="N613" s="17" t="inlineStr">
        <is>
          <t>Chef d entreprise</t>
        </is>
      </c>
      <c r="O613" s="18" t="inlineStr">
        <is>
          <t>13853</t>
        </is>
      </c>
    </row>
    <row r="614" ht="20" customHeight="1">
      <c r="A614" s="13" t="inlineStr">
        <is>
          <t>PAEA-CCISM-0613</t>
        </is>
      </c>
      <c r="B614" s="13" t="inlineStr">
        <is>
          <t>304147</t>
        </is>
      </c>
      <c r="C614" s="14" t="inlineStr">
        <is>
          <t>RICHMOND NEE FAANA PHILOMENE</t>
        </is>
      </c>
      <c r="D614" s="14" t="inlineStr">
        <is>
          <t>QT RICHMOND 98711 PAEA</t>
        </is>
      </c>
      <c r="E614" s="14" t="inlineStr">
        <is>
          <t>Patenté (Personne Physique)</t>
        </is>
      </c>
      <c r="F614" s="14" t="inlineStr">
        <is>
          <t>Patenté</t>
        </is>
      </c>
      <c r="G614" s="13" t="inlineStr">
        <is>
          <t>4312A</t>
        </is>
      </c>
      <c r="H614" s="13" t="inlineStr">
        <is>
          <t>M</t>
        </is>
      </c>
      <c r="I614" s="14" t="inlineStr">
        <is>
          <t>Métiers &amp; Artisanat</t>
        </is>
      </c>
      <c r="J614" s="15" t="n">
        <v>1</v>
      </c>
      <c r="K614" s="15" t="n">
        <v>1</v>
      </c>
      <c r="L614" s="14" t="inlineStr">
        <is>
          <t>19 142 A</t>
        </is>
      </c>
      <c r="M614" s="14" t="inlineStr">
        <is>
          <t>Mme RICHMOND (Née FAANA) PHILOMENE</t>
        </is>
      </c>
      <c r="N614" s="14" t="inlineStr">
        <is>
          <t>Chef d entreprise</t>
        </is>
      </c>
      <c r="O614" s="15" t="inlineStr">
        <is>
          <t>13856</t>
        </is>
      </c>
    </row>
    <row r="615" ht="20" customHeight="1">
      <c r="A615" s="16" t="inlineStr">
        <is>
          <t>PAEA-CCISM-0614</t>
        </is>
      </c>
      <c r="B615" s="16" t="inlineStr">
        <is>
          <t>B83621</t>
        </is>
      </c>
      <c r="C615" s="17" t="inlineStr">
        <is>
          <t>RICHMOND NEE FOSTER RAIANA</t>
        </is>
      </c>
      <c r="D615" s="17" t="inlineStr">
        <is>
          <t>QT RICHMOND 98711 PAEA</t>
        </is>
      </c>
      <c r="E615" s="17" t="inlineStr">
        <is>
          <t>Patenté (Personne Physique)</t>
        </is>
      </c>
      <c r="F615" s="17" t="inlineStr">
        <is>
          <t>Patenté</t>
        </is>
      </c>
      <c r="G615" s="16" t="inlineStr">
        <is>
          <t>1413Z</t>
        </is>
      </c>
      <c r="H615" s="16" t="inlineStr">
        <is>
          <t>M</t>
        </is>
      </c>
      <c r="I615" s="17" t="inlineStr">
        <is>
          <t>Métiers &amp; Artisanat</t>
        </is>
      </c>
      <c r="J615" s="18" t="n">
        <v>0</v>
      </c>
      <c r="K615" s="18" t="n">
        <v>1</v>
      </c>
      <c r="L615" s="17" t="inlineStr">
        <is>
          <t>16 469 A</t>
        </is>
      </c>
      <c r="M615" s="17" t="inlineStr">
        <is>
          <t>Mme RICHMOND (Née FOSTER) RAIANA</t>
        </is>
      </c>
      <c r="N615" s="17" t="inlineStr">
        <is>
          <t>Chef d entreprise</t>
        </is>
      </c>
      <c r="O615" s="18" t="inlineStr">
        <is>
          <t>13858</t>
        </is>
      </c>
    </row>
    <row r="616" ht="20" customHeight="1">
      <c r="A616" s="13" t="inlineStr">
        <is>
          <t>PAEA-CCISM-0615</t>
        </is>
      </c>
      <c r="B616" s="13" t="inlineStr">
        <is>
          <t>150672</t>
        </is>
      </c>
      <c r="C616" s="14" t="inlineStr">
        <is>
          <t>ROBINSON TUMATA MAHEALANI</t>
        </is>
      </c>
      <c r="D616" s="14" t="inlineStr">
        <is>
          <t>98711 PAEA</t>
        </is>
      </c>
      <c r="E616" s="14" t="inlineStr">
        <is>
          <t>Patenté (Personne Physique)</t>
        </is>
      </c>
      <c r="F616" s="14" t="inlineStr">
        <is>
          <t>Patenté</t>
        </is>
      </c>
      <c r="G616" s="13" t="inlineStr">
        <is>
          <t>3213Z</t>
        </is>
      </c>
      <c r="H616" s="13" t="inlineStr">
        <is>
          <t>M</t>
        </is>
      </c>
      <c r="I616" s="14" t="inlineStr">
        <is>
          <t>Métiers &amp; Artisanat</t>
        </is>
      </c>
      <c r="J616" s="15" t="n">
        <v>1</v>
      </c>
      <c r="K616" s="15" t="n">
        <v>1</v>
      </c>
      <c r="L616" s="14" t="inlineStr">
        <is>
          <t>21 3169 A</t>
        </is>
      </c>
      <c r="M616" s="14" t="inlineStr">
        <is>
          <t>Mme ROBINSON TUMATA MAHEALANI</t>
        </is>
      </c>
      <c r="N616" s="14" t="inlineStr">
        <is>
          <t>Chef d entreprise</t>
        </is>
      </c>
      <c r="O616" s="15" t="inlineStr">
        <is>
          <t>13911</t>
        </is>
      </c>
    </row>
    <row r="617" ht="20" customHeight="1">
      <c r="A617" s="16" t="inlineStr">
        <is>
          <t>PAEA-CCISM-0616</t>
        </is>
      </c>
      <c r="B617" s="16" t="inlineStr">
        <is>
          <t>989780</t>
        </is>
      </c>
      <c r="C617" s="17" t="inlineStr">
        <is>
          <t>ROBSON NEE ROLAND MAGALI HELENE MICHELE</t>
        </is>
      </c>
      <c r="D617" s="17" t="inlineStr">
        <is>
          <t>PAEA PK 23.300 C/MONT - TEAREA 98711 PAEA</t>
        </is>
      </c>
      <c r="E617" s="17" t="inlineStr">
        <is>
          <t>Patenté (Personne Physique)</t>
        </is>
      </c>
      <c r="F617" s="17" t="inlineStr">
        <is>
          <t>Patenté</t>
        </is>
      </c>
      <c r="G617" s="16" t="inlineStr">
        <is>
          <t>9602A</t>
        </is>
      </c>
      <c r="H617" s="16" t="inlineStr">
        <is>
          <t>M</t>
        </is>
      </c>
      <c r="I617" s="17" t="inlineStr">
        <is>
          <t>Métiers &amp; Artisanat</t>
        </is>
      </c>
      <c r="J617" s="18" t="n">
        <v>0</v>
      </c>
      <c r="K617" s="18" t="n">
        <v>1</v>
      </c>
      <c r="L617" s="17" t="inlineStr">
        <is>
          <t>11 1134 A</t>
        </is>
      </c>
      <c r="M617" s="17" t="inlineStr">
        <is>
          <t>Mme ROBSON (Née ROLAND) MAGALI HELENE MICHELE</t>
        </is>
      </c>
      <c r="N617" s="17" t="inlineStr">
        <is>
          <t>Chef d entreprise</t>
        </is>
      </c>
      <c r="O617" s="18" t="inlineStr">
        <is>
          <t>13917</t>
        </is>
      </c>
    </row>
    <row r="618" ht="20" customHeight="1">
      <c r="A618" s="13" t="inlineStr">
        <is>
          <t>PAEA-CCISM-0617</t>
        </is>
      </c>
      <c r="B618" s="13" t="inlineStr">
        <is>
          <t>387498</t>
        </is>
      </c>
      <c r="C618" s="14" t="inlineStr">
        <is>
          <t>ROBSON NEE TAURAA REGINA EPENETA</t>
        </is>
      </c>
      <c r="D618" s="14" t="inlineStr">
        <is>
          <t>98711 PAEA</t>
        </is>
      </c>
      <c r="E618" s="14" t="inlineStr">
        <is>
          <t>Patenté (Personne Physique)</t>
        </is>
      </c>
      <c r="F618" s="14" t="inlineStr">
        <is>
          <t>Patenté</t>
        </is>
      </c>
      <c r="G618" s="13" t="inlineStr">
        <is>
          <t>1071D</t>
        </is>
      </c>
      <c r="H618" s="13" t="inlineStr">
        <is>
          <t>M</t>
        </is>
      </c>
      <c r="I618" s="14" t="inlineStr">
        <is>
          <t>Métiers &amp; Artisanat</t>
        </is>
      </c>
      <c r="J618" s="15" t="n">
        <v>0</v>
      </c>
      <c r="K618" s="15" t="n">
        <v>1</v>
      </c>
      <c r="L618" s="14" t="inlineStr">
        <is>
          <t>19 117 A</t>
        </is>
      </c>
      <c r="M618" s="14" t="inlineStr">
        <is>
          <t>Mme ROBSON (Née TAURAA) REGINA EPENETA</t>
        </is>
      </c>
      <c r="N618" s="14" t="inlineStr">
        <is>
          <t>Chef d entreprise</t>
        </is>
      </c>
      <c r="O618" s="15" t="inlineStr">
        <is>
          <t>13918</t>
        </is>
      </c>
    </row>
    <row r="619" ht="20" customHeight="1">
      <c r="A619" s="16" t="inlineStr">
        <is>
          <t>PAEA-CCISM-0618</t>
        </is>
      </c>
      <c r="B619" s="16" t="inlineStr">
        <is>
          <t>B84934</t>
        </is>
      </c>
      <c r="C619" s="17" t="inlineStr">
        <is>
          <t>ROBSON NEE TEPOU MAXIMILIENNE ELIANE</t>
        </is>
      </c>
      <c r="D619" s="17" t="inlineStr">
        <is>
          <t>98711 PAEA</t>
        </is>
      </c>
      <c r="E619" s="17" t="inlineStr">
        <is>
          <t>Patenté (Personne Physique)</t>
        </is>
      </c>
      <c r="F619" s="17" t="inlineStr">
        <is>
          <t>Patenté</t>
        </is>
      </c>
      <c r="G619" s="16" t="inlineStr">
        <is>
          <t>8121Z</t>
        </is>
      </c>
      <c r="H619" s="16" t="inlineStr">
        <is>
          <t>M</t>
        </is>
      </c>
      <c r="I619" s="17" t="inlineStr">
        <is>
          <t>Métiers &amp; Artisanat</t>
        </is>
      </c>
      <c r="J619" s="18" t="n">
        <v>0</v>
      </c>
      <c r="K619" s="18" t="n">
        <v>1</v>
      </c>
      <c r="L619" s="17" t="inlineStr">
        <is>
          <t>16 554 A</t>
        </is>
      </c>
      <c r="M619" s="17" t="inlineStr">
        <is>
          <t>Mme ROBSON (Née TEPOU) MAXIMILIENNE ELIANE</t>
        </is>
      </c>
      <c r="N619" s="17" t="inlineStr">
        <is>
          <t>Chef d entreprise</t>
        </is>
      </c>
      <c r="O619" s="18" t="inlineStr">
        <is>
          <t>13919</t>
        </is>
      </c>
    </row>
    <row r="620" ht="20" customHeight="1">
      <c r="A620" s="13" t="inlineStr">
        <is>
          <t>PAEA-CCISM-0619</t>
        </is>
      </c>
      <c r="B620" s="13" t="inlineStr">
        <is>
          <t>B28618</t>
        </is>
      </c>
      <c r="C620" s="14" t="inlineStr">
        <is>
          <t>ROE ROCKY MOERANI</t>
        </is>
      </c>
      <c r="D620" s="14" t="inlineStr">
        <is>
          <t>QT MONTARON 98711 PAEA</t>
        </is>
      </c>
      <c r="E620" s="14" t="inlineStr">
        <is>
          <t>Patenté (Personne Physique)</t>
        </is>
      </c>
      <c r="F620" s="14" t="inlineStr">
        <is>
          <t>Patenté</t>
        </is>
      </c>
      <c r="G620" s="13" t="inlineStr">
        <is>
          <t>8130Z</t>
        </is>
      </c>
      <c r="H620" s="13" t="inlineStr">
        <is>
          <t>M</t>
        </is>
      </c>
      <c r="I620" s="14" t="inlineStr">
        <is>
          <t>Métiers &amp; Artisanat</t>
        </is>
      </c>
      <c r="J620" s="15" t="n">
        <v>0</v>
      </c>
      <c r="K620" s="15" t="n">
        <v>1</v>
      </c>
      <c r="L620" s="14" t="inlineStr">
        <is>
          <t>14 2203 A</t>
        </is>
      </c>
      <c r="M620" s="14" t="inlineStr">
        <is>
          <t>M ROE ROCKY MOERANI</t>
        </is>
      </c>
      <c r="N620" s="14" t="inlineStr">
        <is>
          <t>Chef d entreprise</t>
        </is>
      </c>
      <c r="O620" s="15" t="inlineStr">
        <is>
          <t>13940</t>
        </is>
      </c>
    </row>
    <row r="621" ht="20" customHeight="1">
      <c r="A621" s="16" t="inlineStr">
        <is>
          <t>PAEA-CCISM-0620</t>
        </is>
      </c>
      <c r="B621" s="16" t="inlineStr">
        <is>
          <t>594622</t>
        </is>
      </c>
      <c r="C621" s="17" t="inlineStr">
        <is>
          <t>ROHI DAVY</t>
        </is>
      </c>
      <c r="D621" s="17" t="inlineStr">
        <is>
          <t>98711 PAEA</t>
        </is>
      </c>
      <c r="E621" s="17" t="inlineStr">
        <is>
          <t>Patenté (Personne Physique)</t>
        </is>
      </c>
      <c r="F621" s="17" t="inlineStr">
        <is>
          <t>Patenté</t>
        </is>
      </c>
      <c r="G621" s="16" t="inlineStr">
        <is>
          <t>4339Z</t>
        </is>
      </c>
      <c r="H621" s="16" t="inlineStr">
        <is>
          <t>M</t>
        </is>
      </c>
      <c r="I621" s="17" t="inlineStr">
        <is>
          <t>Métiers &amp; Artisanat</t>
        </is>
      </c>
      <c r="J621" s="18" t="n">
        <v>4</v>
      </c>
      <c r="K621" s="18" t="n">
        <v>1</v>
      </c>
      <c r="L621" s="17" t="inlineStr">
        <is>
          <t>20 1195 A</t>
        </is>
      </c>
      <c r="M621" s="17" t="inlineStr">
        <is>
          <t>M ROHI DAVY</t>
        </is>
      </c>
      <c r="N621" s="17" t="inlineStr">
        <is>
          <t>Chef d entreprise</t>
        </is>
      </c>
      <c r="O621" s="18" t="inlineStr">
        <is>
          <t>13951</t>
        </is>
      </c>
    </row>
    <row r="622" ht="20" customHeight="1">
      <c r="A622" s="13" t="inlineStr">
        <is>
          <t>PAEA-CCISM-0621</t>
        </is>
      </c>
      <c r="B622" s="13" t="inlineStr">
        <is>
          <t>A54483</t>
        </is>
      </c>
      <c r="C622" s="14" t="inlineStr">
        <is>
          <t>ROO GEORGES TEMEEHU NICOLAS</t>
        </is>
      </c>
      <c r="D622" s="14" t="inlineStr">
        <is>
          <t>PAEA PK 20 C/MONT - SERVITUDE TAPUTUAR 98711 PAEA</t>
        </is>
      </c>
      <c r="E622" s="14" t="inlineStr">
        <is>
          <t>Patenté (Personne Physique)</t>
        </is>
      </c>
      <c r="F622" s="14" t="inlineStr">
        <is>
          <t>Patenté</t>
        </is>
      </c>
      <c r="G622" s="13" t="inlineStr">
        <is>
          <t>9602A</t>
        </is>
      </c>
      <c r="H622" s="13" t="inlineStr">
        <is>
          <t>M</t>
        </is>
      </c>
      <c r="I622" s="14" t="inlineStr">
        <is>
          <t>Métiers &amp; Artisanat</t>
        </is>
      </c>
      <c r="J622" s="15" t="n">
        <v>0</v>
      </c>
      <c r="K622" s="15" t="n">
        <v>1</v>
      </c>
      <c r="L622" s="14" t="inlineStr">
        <is>
          <t>13 74 A</t>
        </is>
      </c>
      <c r="M622" s="14" t="inlineStr">
        <is>
          <t>M ROO GEORGES TEMEEHU NICOLAS</t>
        </is>
      </c>
      <c r="N622" s="14" t="inlineStr">
        <is>
          <t>Chef d entreprise</t>
        </is>
      </c>
      <c r="O622" s="15" t="inlineStr">
        <is>
          <t>13974</t>
        </is>
      </c>
    </row>
    <row r="623" ht="20" customHeight="1">
      <c r="A623" s="16" t="inlineStr">
        <is>
          <t>PAEA-CCISM-0622</t>
        </is>
      </c>
      <c r="B623" s="16" t="inlineStr">
        <is>
          <t>880310</t>
        </is>
      </c>
      <c r="C623" s="17" t="inlineStr">
        <is>
          <t>ROOINO ALAIN</t>
        </is>
      </c>
      <c r="D623" s="17" t="inlineStr">
        <is>
          <t>SVTDE TEIOATUA MAISON N°9 98711 PAEA</t>
        </is>
      </c>
      <c r="E623" s="17" t="inlineStr">
        <is>
          <t>Patenté (Personne Physique)</t>
        </is>
      </c>
      <c r="F623" s="17" t="inlineStr">
        <is>
          <t>Patenté</t>
        </is>
      </c>
      <c r="G623" s="16" t="inlineStr">
        <is>
          <t>4339Z</t>
        </is>
      </c>
      <c r="H623" s="16" t="inlineStr">
        <is>
          <t>M</t>
        </is>
      </c>
      <c r="I623" s="17" t="inlineStr">
        <is>
          <t>Métiers &amp; Artisanat</t>
        </is>
      </c>
      <c r="J623" s="18" t="n">
        <v>0</v>
      </c>
      <c r="K623" s="18" t="n">
        <v>1</v>
      </c>
      <c r="L623" s="17" t="inlineStr">
        <is>
          <t>22 463 A</t>
        </is>
      </c>
      <c r="M623" s="17" t="inlineStr">
        <is>
          <t>M ROOINO ALAIN</t>
        </is>
      </c>
      <c r="N623" s="17" t="inlineStr">
        <is>
          <t>Chef d entreprise</t>
        </is>
      </c>
      <c r="O623" s="18" t="inlineStr">
        <is>
          <t>13980</t>
        </is>
      </c>
    </row>
    <row r="624" ht="20" customHeight="1">
      <c r="A624" s="13" t="inlineStr">
        <is>
          <t>PAEA-CCISM-0623</t>
        </is>
      </c>
      <c r="B624" s="13" t="inlineStr">
        <is>
          <t>446583</t>
        </is>
      </c>
      <c r="C624" s="14" t="inlineStr">
        <is>
          <t>ROOMATAAROA HEROLD HEINUI JEAN PAUL</t>
        </is>
      </c>
      <c r="D624" s="14" t="inlineStr">
        <is>
          <t>PAEA PK 19.500 C/MONT - LOT SEIGNEUR N 98711 PAEA</t>
        </is>
      </c>
      <c r="E624" s="14" t="inlineStr">
        <is>
          <t>Patenté (Personne Physique)</t>
        </is>
      </c>
      <c r="F624" s="14" t="inlineStr">
        <is>
          <t>Patenté</t>
        </is>
      </c>
      <c r="G624" s="13" t="inlineStr">
        <is>
          <t>1032Z</t>
        </is>
      </c>
      <c r="H624" s="13" t="inlineStr">
        <is>
          <t>M</t>
        </is>
      </c>
      <c r="I624" s="14" t="inlineStr">
        <is>
          <t>Métiers &amp; Artisanat</t>
        </is>
      </c>
      <c r="J624" s="15" t="n">
        <v>0</v>
      </c>
      <c r="K624" s="15" t="n">
        <v>1</v>
      </c>
      <c r="L624" s="14" t="inlineStr">
        <is>
          <t>12 2012 A</t>
        </is>
      </c>
      <c r="M624" s="14" t="inlineStr">
        <is>
          <t>M ROOMATAAROA HEROLD HEINUI JEAN PAUL</t>
        </is>
      </c>
      <c r="N624" s="14" t="inlineStr">
        <is>
          <t>Chef d entreprise</t>
        </is>
      </c>
      <c r="O624" s="15" t="inlineStr">
        <is>
          <t>13983</t>
        </is>
      </c>
    </row>
    <row r="625" ht="20" customHeight="1">
      <c r="A625" s="16" t="inlineStr">
        <is>
          <t>PAEA-CCISM-0624</t>
        </is>
      </c>
      <c r="B625" s="16" t="inlineStr">
        <is>
          <t>783647</t>
        </is>
      </c>
      <c r="C625" s="17" t="inlineStr">
        <is>
          <t>ROOMATAAROA JEFF TAIANUI</t>
        </is>
      </c>
      <c r="D625" s="17" t="inlineStr">
        <is>
          <t>PAEA PK 18.500 C/MONT 98711 PAEA</t>
        </is>
      </c>
      <c r="E625" s="17" t="inlineStr">
        <is>
          <t>Patenté (Personne Physique)</t>
        </is>
      </c>
      <c r="F625" s="17" t="inlineStr">
        <is>
          <t>Patenté</t>
        </is>
      </c>
      <c r="G625" s="16" t="inlineStr">
        <is>
          <t>4321A</t>
        </is>
      </c>
      <c r="H625" s="16" t="inlineStr">
        <is>
          <t>M</t>
        </is>
      </c>
      <c r="I625" s="17" t="inlineStr">
        <is>
          <t>Métiers &amp; Artisanat</t>
        </is>
      </c>
      <c r="J625" s="18" t="n">
        <v>0</v>
      </c>
      <c r="K625" s="18" t="n">
        <v>1</v>
      </c>
      <c r="L625" s="17" t="inlineStr">
        <is>
          <t>06 978 A</t>
        </is>
      </c>
      <c r="M625" s="17" t="inlineStr">
        <is>
          <t>M ROOMATAAROA JEFF TAIANUI</t>
        </is>
      </c>
      <c r="N625" s="17" t="inlineStr">
        <is>
          <t>Chef d entreprise</t>
        </is>
      </c>
      <c r="O625" s="18" t="inlineStr">
        <is>
          <t>13984</t>
        </is>
      </c>
    </row>
    <row r="626" ht="20" customHeight="1">
      <c r="A626" s="13" t="inlineStr">
        <is>
          <t>PAEA-CCISM-0625</t>
        </is>
      </c>
      <c r="B626" s="13" t="inlineStr">
        <is>
          <t>D20512</t>
        </is>
      </c>
      <c r="C626" s="14" t="inlineStr">
        <is>
          <t>ROSIN NEE SHAN HANG MIRNA TAUHITI</t>
        </is>
      </c>
      <c r="D626" s="14" t="inlineStr">
        <is>
          <t>QUARTIER MONTARON 98711 PAEA</t>
        </is>
      </c>
      <c r="E626" s="14" t="inlineStr">
        <is>
          <t>Patenté (Personne Physique)</t>
        </is>
      </c>
      <c r="F626" s="14" t="inlineStr">
        <is>
          <t>Patenté</t>
        </is>
      </c>
      <c r="G626" s="13" t="inlineStr">
        <is>
          <t>8121Z</t>
        </is>
      </c>
      <c r="H626" s="13" t="inlineStr">
        <is>
          <t>M</t>
        </is>
      </c>
      <c r="I626" s="14" t="inlineStr">
        <is>
          <t>Métiers &amp; Artisanat</t>
        </is>
      </c>
      <c r="J626" s="15" t="n">
        <v>0</v>
      </c>
      <c r="K626" s="15" t="n">
        <v>1</v>
      </c>
      <c r="L626" s="14" t="inlineStr">
        <is>
          <t>19 882 A</t>
        </is>
      </c>
      <c r="M626" s="14" t="inlineStr">
        <is>
          <t>Mme ROSIN (Née SHAN HANG) MIRNA TAUHITI</t>
        </is>
      </c>
      <c r="N626" s="14" t="inlineStr">
        <is>
          <t>Chef d entreprise</t>
        </is>
      </c>
      <c r="O626" s="15" t="inlineStr">
        <is>
          <t>14017</t>
        </is>
      </c>
    </row>
    <row r="627" ht="20" customHeight="1">
      <c r="A627" s="16" t="inlineStr">
        <is>
          <t>PAEA-CCISM-0626</t>
        </is>
      </c>
      <c r="B627" s="16" t="inlineStr">
        <is>
          <t>692764</t>
        </is>
      </c>
      <c r="C627" s="17" t="inlineStr">
        <is>
          <t>ROSIN NEE TIXIER ROMINA ARLETTE</t>
        </is>
      </c>
      <c r="D627" s="17" t="inlineStr">
        <is>
          <t>RTE SERVITUDE BADOT 98711 PAEA</t>
        </is>
      </c>
      <c r="E627" s="17" t="inlineStr">
        <is>
          <t>Patenté (Personne Physique)</t>
        </is>
      </c>
      <c r="F627" s="17" t="inlineStr">
        <is>
          <t>Patenté</t>
        </is>
      </c>
      <c r="G627" s="16" t="inlineStr">
        <is>
          <t>8130Z</t>
        </is>
      </c>
      <c r="H627" s="16" t="inlineStr">
        <is>
          <t>M</t>
        </is>
      </c>
      <c r="I627" s="17" t="inlineStr">
        <is>
          <t>Métiers &amp; Artisanat</t>
        </is>
      </c>
      <c r="J627" s="18" t="n">
        <v>0</v>
      </c>
      <c r="K627" s="18" t="n">
        <v>1</v>
      </c>
      <c r="L627" s="17" t="inlineStr">
        <is>
          <t>14 1913 A</t>
        </is>
      </c>
      <c r="M627" s="17" t="inlineStr">
        <is>
          <t>Mme ROSIN (Née TIXIER) ROMINA ARLETTE</t>
        </is>
      </c>
      <c r="N627" s="17" t="inlineStr">
        <is>
          <t>Chef d entreprise</t>
        </is>
      </c>
      <c r="O627" s="18" t="inlineStr">
        <is>
          <t>14018</t>
        </is>
      </c>
    </row>
    <row r="628" ht="20" customHeight="1">
      <c r="A628" s="13" t="inlineStr">
        <is>
          <t>PAEA-CCISM-0627</t>
        </is>
      </c>
      <c r="B628" s="13" t="inlineStr">
        <is>
          <t>E29429</t>
        </is>
      </c>
      <c r="C628" s="14" t="inlineStr">
        <is>
          <t>ROSSI SYLVIE</t>
        </is>
      </c>
      <c r="D628" s="14" t="inlineStr">
        <is>
          <t>PK 19 CT/MONT 98711 PAEA</t>
        </is>
      </c>
      <c r="E628" s="14" t="inlineStr">
        <is>
          <t>Patenté (Personne Physique)</t>
        </is>
      </c>
      <c r="F628" s="14" t="inlineStr">
        <is>
          <t>Patenté</t>
        </is>
      </c>
      <c r="G628" s="13" t="inlineStr">
        <is>
          <t>9602B</t>
        </is>
      </c>
      <c r="H628" s="13" t="inlineStr">
        <is>
          <t>M</t>
        </is>
      </c>
      <c r="I628" s="14" t="inlineStr">
        <is>
          <t>Métiers &amp; Artisanat</t>
        </is>
      </c>
      <c r="J628" s="15" t="n">
        <v>0</v>
      </c>
      <c r="K628" s="15" t="n">
        <v>1</v>
      </c>
      <c r="L628" s="14" t="inlineStr">
        <is>
          <t>21 1515 A</t>
        </is>
      </c>
      <c r="M628" s="14" t="inlineStr">
        <is>
          <t>Mme ROSSI SYLVIE</t>
        </is>
      </c>
      <c r="N628" s="14" t="inlineStr">
        <is>
          <t>Chef d entreprise</t>
        </is>
      </c>
      <c r="O628" s="15" t="inlineStr">
        <is>
          <t>14019</t>
        </is>
      </c>
    </row>
    <row r="629" ht="20" customHeight="1">
      <c r="A629" s="16" t="inlineStr">
        <is>
          <t>PAEA-CCISM-0628</t>
        </is>
      </c>
      <c r="B629" s="16" t="inlineStr">
        <is>
          <t>F11722</t>
        </is>
      </c>
      <c r="C629" s="17" t="inlineStr">
        <is>
          <t>ROUXEL CANDICE</t>
        </is>
      </c>
      <c r="D629" s="17" t="inlineStr">
        <is>
          <t>SERVITUDE SEIGNEUR STUDIO 2 98711 PAEA</t>
        </is>
      </c>
      <c r="E629" s="17" t="inlineStr">
        <is>
          <t>Patenté (Personne Physique)</t>
        </is>
      </c>
      <c r="F629" s="17" t="inlineStr">
        <is>
          <t>Patenté</t>
        </is>
      </c>
      <c r="G629" s="16" t="inlineStr">
        <is>
          <t>3212Z</t>
        </is>
      </c>
      <c r="H629" s="16" t="inlineStr">
        <is>
          <t>M</t>
        </is>
      </c>
      <c r="I629" s="17" t="inlineStr">
        <is>
          <t>Métiers &amp; Artisanat</t>
        </is>
      </c>
      <c r="J629" s="18" t="n">
        <v>0</v>
      </c>
      <c r="K629" s="18" t="n">
        <v>1</v>
      </c>
      <c r="L629" s="17" t="inlineStr">
        <is>
          <t>2317 A</t>
        </is>
      </c>
      <c r="M629" s="17" t="inlineStr">
        <is>
          <t>Mme ROUXEL CANDICE</t>
        </is>
      </c>
      <c r="N629" s="17" t="inlineStr">
        <is>
          <t>Chef d entreprise</t>
        </is>
      </c>
      <c r="O629" s="18" t="inlineStr">
        <is>
          <t>14043</t>
        </is>
      </c>
    </row>
    <row r="630" ht="20" customHeight="1">
      <c r="A630" s="13" t="inlineStr">
        <is>
          <t>PAEA-CCISM-0629</t>
        </is>
      </c>
      <c r="B630" s="13" t="inlineStr">
        <is>
          <t>F79463</t>
        </is>
      </c>
      <c r="C630" s="14" t="inlineStr">
        <is>
          <t>ROUXEL MAXIME, JACKY</t>
        </is>
      </c>
      <c r="D630" s="14" t="inlineStr">
        <is>
          <t>SERVITUDE URATUA SALMON 98711 PAEA</t>
        </is>
      </c>
      <c r="E630" s="14" t="inlineStr">
        <is>
          <t>Patenté (Personne Physique)</t>
        </is>
      </c>
      <c r="F630" s="14" t="inlineStr">
        <is>
          <t>Patenté</t>
        </is>
      </c>
      <c r="G630" s="13" t="inlineStr">
        <is>
          <t>4339Z</t>
        </is>
      </c>
      <c r="H630" s="13" t="inlineStr">
        <is>
          <t>M</t>
        </is>
      </c>
      <c r="I630" s="14" t="inlineStr">
        <is>
          <t>Métiers &amp; Artisanat</t>
        </is>
      </c>
      <c r="J630" s="15" t="n">
        <v>0</v>
      </c>
      <c r="K630" s="15" t="n">
        <v>1</v>
      </c>
      <c r="L630" s="14" t="inlineStr">
        <is>
          <t>24 873 A</t>
        </is>
      </c>
      <c r="M630" s="14" t="inlineStr">
        <is>
          <t>M ROUXEL MAXIME, JACKY</t>
        </is>
      </c>
      <c r="N630" s="14" t="inlineStr">
        <is>
          <t>Chef d entreprise</t>
        </is>
      </c>
      <c r="O630" s="15" t="inlineStr">
        <is>
          <t>14044</t>
        </is>
      </c>
    </row>
    <row r="631" ht="20" customHeight="1">
      <c r="A631" s="16" t="inlineStr">
        <is>
          <t>PAEA-CCISM-0630</t>
        </is>
      </c>
      <c r="B631" s="16" t="inlineStr">
        <is>
          <t>C45362</t>
        </is>
      </c>
      <c r="C631" s="17" t="inlineStr">
        <is>
          <t>ROUZIERE HADRIEN</t>
        </is>
      </c>
      <c r="D631" s="17" t="inlineStr">
        <is>
          <t>SERV AMATI 98711 PAEA</t>
        </is>
      </c>
      <c r="E631" s="17" t="inlineStr">
        <is>
          <t>Patenté (Personne Physique)</t>
        </is>
      </c>
      <c r="F631" s="17" t="inlineStr">
        <is>
          <t>Patenté</t>
        </is>
      </c>
      <c r="G631" s="16" t="inlineStr">
        <is>
          <t>4391A</t>
        </is>
      </c>
      <c r="H631" s="16" t="inlineStr">
        <is>
          <t>M</t>
        </is>
      </c>
      <c r="I631" s="17" t="inlineStr">
        <is>
          <t>Métiers &amp; Artisanat</t>
        </is>
      </c>
      <c r="J631" s="18" t="n">
        <v>0</v>
      </c>
      <c r="K631" s="18" t="n">
        <v>1</v>
      </c>
      <c r="L631" s="17" t="inlineStr">
        <is>
          <t>23 1239 A</t>
        </is>
      </c>
      <c r="M631" s="17" t="inlineStr">
        <is>
          <t>M ROUZIERE HADRIEN</t>
        </is>
      </c>
      <c r="N631" s="17" t="inlineStr">
        <is>
          <t>Chef d entreprise</t>
        </is>
      </c>
      <c r="O631" s="18" t="inlineStr">
        <is>
          <t>14045</t>
        </is>
      </c>
    </row>
    <row r="632" ht="20" customHeight="1">
      <c r="A632" s="13" t="inlineStr">
        <is>
          <t>PAEA-CCISM-0631</t>
        </is>
      </c>
      <c r="B632" s="13" t="inlineStr">
        <is>
          <t>C13428</t>
        </is>
      </c>
      <c r="C632" s="14" t="inlineStr">
        <is>
          <t>ROVERE CHRISTOPHE</t>
        </is>
      </c>
      <c r="D632" s="14" t="inlineStr">
        <is>
          <t>RTE LOTISSEMENT VAITUPA LOT 5 98711 PAEA</t>
        </is>
      </c>
      <c r="E632" s="14" t="inlineStr">
        <is>
          <t>Patenté (Personne Physique)</t>
        </is>
      </c>
      <c r="F632" s="14" t="inlineStr">
        <is>
          <t>Patenté</t>
        </is>
      </c>
      <c r="G632" s="13" t="inlineStr">
        <is>
          <t>3315Z</t>
        </is>
      </c>
      <c r="H632" s="13" t="inlineStr">
        <is>
          <t>M</t>
        </is>
      </c>
      <c r="I632" s="14" t="inlineStr">
        <is>
          <t>Métiers &amp; Artisanat</t>
        </is>
      </c>
      <c r="J632" s="15" t="n">
        <v>0</v>
      </c>
      <c r="K632" s="15" t="n">
        <v>1</v>
      </c>
      <c r="L632" s="14" t="inlineStr">
        <is>
          <t>16 2444 A</t>
        </is>
      </c>
      <c r="M632" s="14" t="inlineStr">
        <is>
          <t>M ROVERE CHRISTOPHE</t>
        </is>
      </c>
      <c r="N632" s="14" t="inlineStr">
        <is>
          <t>Chef d entreprise</t>
        </is>
      </c>
      <c r="O632" s="15" t="inlineStr">
        <is>
          <t>14046</t>
        </is>
      </c>
    </row>
    <row r="633" ht="20" customHeight="1">
      <c r="A633" s="16" t="inlineStr">
        <is>
          <t>PAEA-CCISM-0632</t>
        </is>
      </c>
      <c r="B633" s="16" t="inlineStr">
        <is>
          <t>931394</t>
        </is>
      </c>
      <c r="C633" s="17" t="inlineStr">
        <is>
          <t>SAINT-DENIS PAUL</t>
        </is>
      </c>
      <c r="D633" s="17" t="inlineStr">
        <is>
          <t>SERVITUDE AVIA 98711 PAEA</t>
        </is>
      </c>
      <c r="E633" s="17" t="inlineStr">
        <is>
          <t>Patenté (Personne Physique)</t>
        </is>
      </c>
      <c r="F633" s="17" t="inlineStr">
        <is>
          <t>Patenté</t>
        </is>
      </c>
      <c r="G633" s="16" t="inlineStr">
        <is>
          <t>4322B</t>
        </is>
      </c>
      <c r="H633" s="16" t="inlineStr">
        <is>
          <t>M</t>
        </is>
      </c>
      <c r="I633" s="17" t="inlineStr">
        <is>
          <t>Métiers &amp; Artisanat</t>
        </is>
      </c>
      <c r="J633" s="18" t="n">
        <v>0</v>
      </c>
      <c r="K633" s="18" t="n">
        <v>1</v>
      </c>
      <c r="L633" s="17" t="inlineStr">
        <is>
          <t>10 38 A</t>
        </is>
      </c>
      <c r="M633" s="17" t="inlineStr">
        <is>
          <t>M SAINT-DENIS PAUL</t>
        </is>
      </c>
      <c r="N633" s="17" t="inlineStr">
        <is>
          <t>Chef d entreprise</t>
        </is>
      </c>
      <c r="O633" s="18" t="inlineStr">
        <is>
          <t>14102</t>
        </is>
      </c>
    </row>
    <row r="634" ht="20" customHeight="1">
      <c r="A634" s="13" t="inlineStr">
        <is>
          <t>PAEA-CCISM-0633</t>
        </is>
      </c>
      <c r="B634" s="13" t="inlineStr">
        <is>
          <t>G13338</t>
        </is>
      </c>
      <c r="C634" s="14" t="inlineStr">
        <is>
          <t>SALAUN MANON, FRANÇOISE</t>
        </is>
      </c>
      <c r="D634" s="14" t="inlineStr">
        <is>
          <t>98711 PAEA</t>
        </is>
      </c>
      <c r="E634" s="14" t="inlineStr">
        <is>
          <t>Patenté (Personne Physique)</t>
        </is>
      </c>
      <c r="F634" s="14" t="inlineStr">
        <is>
          <t>Patenté</t>
        </is>
      </c>
      <c r="G634" s="13" t="inlineStr">
        <is>
          <t>8121Z</t>
        </is>
      </c>
      <c r="H634" s="13" t="inlineStr">
        <is>
          <t>M</t>
        </is>
      </c>
      <c r="I634" s="14" t="inlineStr">
        <is>
          <t>Métiers &amp; Artisanat</t>
        </is>
      </c>
      <c r="J634" s="15" t="n">
        <v>0</v>
      </c>
      <c r="K634" s="15" t="n">
        <v>1</v>
      </c>
      <c r="L634" s="14" t="inlineStr">
        <is>
          <t>25 458 A</t>
        </is>
      </c>
      <c r="M634" s="14" t="inlineStr">
        <is>
          <t>Mme SALAUN MANON, FRANÇOISE</t>
        </is>
      </c>
      <c r="N634" s="14" t="inlineStr">
        <is>
          <t>Chef d entreprise</t>
        </is>
      </c>
      <c r="O634" s="15" t="inlineStr">
        <is>
          <t>14107</t>
        </is>
      </c>
    </row>
    <row r="635" ht="20" customHeight="1">
      <c r="A635" s="16" t="inlineStr">
        <is>
          <t>PAEA-CCISM-0634</t>
        </is>
      </c>
      <c r="B635" s="16" t="inlineStr">
        <is>
          <t>D87636</t>
        </is>
      </c>
      <c r="C635" s="17" t="inlineStr">
        <is>
          <t>SALMON AMO DORENCE</t>
        </is>
      </c>
      <c r="D635" s="17" t="inlineStr">
        <is>
          <t>RTE LOTISSEMENT BOURNE N° 25 98711 PAEA</t>
        </is>
      </c>
      <c r="E635" s="17" t="inlineStr">
        <is>
          <t>Patenté (Personne Physique)</t>
        </is>
      </c>
      <c r="F635" s="17" t="inlineStr">
        <is>
          <t>Patenté</t>
        </is>
      </c>
      <c r="G635" s="16" t="inlineStr">
        <is>
          <t>4339Z</t>
        </is>
      </c>
      <c r="H635" s="16" t="inlineStr">
        <is>
          <t>M</t>
        </is>
      </c>
      <c r="I635" s="17" t="inlineStr">
        <is>
          <t>Métiers &amp; Artisanat</t>
        </is>
      </c>
      <c r="J635" s="18" t="n">
        <v>0</v>
      </c>
      <c r="K635" s="18" t="n">
        <v>1</v>
      </c>
      <c r="L635" s="17" t="inlineStr">
        <is>
          <t>20 1846 A</t>
        </is>
      </c>
      <c r="M635" s="17" t="inlineStr">
        <is>
          <t>M SALMON AMO DORENCE</t>
        </is>
      </c>
      <c r="N635" s="17" t="inlineStr">
        <is>
          <t>Chef d entreprise</t>
        </is>
      </c>
      <c r="O635" s="18" t="inlineStr">
        <is>
          <t>14111</t>
        </is>
      </c>
    </row>
    <row r="636" ht="20" customHeight="1">
      <c r="A636" s="13" t="inlineStr">
        <is>
          <t>PAEA-CCISM-0635</t>
        </is>
      </c>
      <c r="B636" s="13" t="inlineStr">
        <is>
          <t>118927</t>
        </is>
      </c>
      <c r="C636" s="14" t="inlineStr">
        <is>
          <t>SALMON LARRY</t>
        </is>
      </c>
      <c r="D636" s="14" t="inlineStr">
        <is>
          <t>PAEA PK 19,500 C/MER 98711 PAEA</t>
        </is>
      </c>
      <c r="E636" s="14" t="inlineStr">
        <is>
          <t>Patenté (Personne Physique)</t>
        </is>
      </c>
      <c r="F636" s="14" t="inlineStr">
        <is>
          <t>Patenté</t>
        </is>
      </c>
      <c r="G636" s="13" t="inlineStr">
        <is>
          <t>4120B</t>
        </is>
      </c>
      <c r="H636" s="13" t="inlineStr">
        <is>
          <t>M</t>
        </is>
      </c>
      <c r="I636" s="14" t="inlineStr">
        <is>
          <t>Métiers &amp; Artisanat</t>
        </is>
      </c>
      <c r="J636" s="15" t="n">
        <v>0</v>
      </c>
      <c r="K636" s="15" t="n">
        <v>1</v>
      </c>
      <c r="L636" s="14" t="inlineStr">
        <is>
          <t>11 1855 A</t>
        </is>
      </c>
      <c r="M636" s="14" t="inlineStr">
        <is>
          <t>M SALMON LARRY</t>
        </is>
      </c>
      <c r="N636" s="14" t="inlineStr">
        <is>
          <t>Chef d entreprise</t>
        </is>
      </c>
      <c r="O636" s="15" t="inlineStr">
        <is>
          <t>14117</t>
        </is>
      </c>
    </row>
    <row r="637" ht="20" customHeight="1">
      <c r="A637" s="16" t="inlineStr">
        <is>
          <t>PAEA-CCISM-0636</t>
        </is>
      </c>
      <c r="B637" s="16" t="inlineStr">
        <is>
          <t>769356</t>
        </is>
      </c>
      <c r="C637" s="17" t="inlineStr">
        <is>
          <t>SAMÖEL FRANÇOIS JEAN-PIERRE</t>
        </is>
      </c>
      <c r="D637" s="17" t="inlineStr">
        <is>
          <t>PAEA PK 20 C/MONT 98711 PAEA</t>
        </is>
      </c>
      <c r="E637" s="17" t="inlineStr">
        <is>
          <t>Patenté (Personne Physique)</t>
        </is>
      </c>
      <c r="F637" s="17" t="inlineStr">
        <is>
          <t>Patenté</t>
        </is>
      </c>
      <c r="G637" s="16" t="inlineStr">
        <is>
          <t>4120A</t>
        </is>
      </c>
      <c r="H637" s="16" t="inlineStr">
        <is>
          <t>M</t>
        </is>
      </c>
      <c r="I637" s="17" t="inlineStr">
        <is>
          <t>Métiers &amp; Artisanat</t>
        </is>
      </c>
      <c r="J637" s="18" t="n">
        <v>0</v>
      </c>
      <c r="K637" s="18" t="n">
        <v>1</v>
      </c>
      <c r="L637" s="17" t="inlineStr">
        <is>
          <t>06 372 A</t>
        </is>
      </c>
      <c r="M637" s="17" t="inlineStr">
        <is>
          <t>M SAMÖEL FRANÇOIS JEAN-PIERRE</t>
        </is>
      </c>
      <c r="N637" s="17" t="inlineStr">
        <is>
          <t>Chef d entreprise</t>
        </is>
      </c>
      <c r="O637" s="18" t="inlineStr">
        <is>
          <t>14138</t>
        </is>
      </c>
    </row>
    <row r="638" ht="20" customHeight="1">
      <c r="A638" s="13" t="inlineStr">
        <is>
          <t>PAEA-CCISM-0637</t>
        </is>
      </c>
      <c r="B638" s="13" t="inlineStr">
        <is>
          <t>327239</t>
        </is>
      </c>
      <c r="C638" s="14" t="inlineStr">
        <is>
          <t>SANDFORD JEAN-FRANCOIS</t>
        </is>
      </c>
      <c r="D638" s="14" t="inlineStr">
        <is>
          <t>PAEA PK 19.800 C/MONTAGNE - DOMICILE 98711 PAEA</t>
        </is>
      </c>
      <c r="E638" s="14" t="inlineStr">
        <is>
          <t>Patenté (Personne Physique)</t>
        </is>
      </c>
      <c r="F638" s="14" t="inlineStr">
        <is>
          <t>Patenté</t>
        </is>
      </c>
      <c r="G638" s="13" t="inlineStr">
        <is>
          <t>4520A</t>
        </is>
      </c>
      <c r="H638" s="13" t="inlineStr">
        <is>
          <t>M</t>
        </is>
      </c>
      <c r="I638" s="14" t="inlineStr">
        <is>
          <t>Métiers &amp; Artisanat</t>
        </is>
      </c>
      <c r="J638" s="15" t="n">
        <v>0</v>
      </c>
      <c r="K638" s="15" t="n">
        <v>1</v>
      </c>
      <c r="L638" s="14" t="inlineStr"/>
      <c r="M638" s="14" t="inlineStr">
        <is>
          <t>23280 A</t>
        </is>
      </c>
      <c r="N638" s="14" t="inlineStr"/>
      <c r="O638" s="15" t="inlineStr"/>
    </row>
    <row r="639" ht="20" customHeight="1">
      <c r="A639" s="16" t="inlineStr">
        <is>
          <t>PAEA-CCISM-0638</t>
        </is>
      </c>
      <c r="B639" s="16" t="inlineStr">
        <is>
          <t>C03775</t>
        </is>
      </c>
      <c r="C639" s="17" t="inlineStr">
        <is>
          <t>SARL GARAGE DE PAEA API</t>
        </is>
      </c>
      <c r="D639" s="17" t="inlineStr">
        <is>
          <t>PROPRIETE ROBSON - LOT C - A218 98711 PAEA</t>
        </is>
      </c>
      <c r="E639" s="17" t="inlineStr">
        <is>
          <t>SARL</t>
        </is>
      </c>
      <c r="F639" s="17" t="inlineStr">
        <is>
          <t>Société</t>
        </is>
      </c>
      <c r="G639" s="16" t="inlineStr">
        <is>
          <t>4520A</t>
        </is>
      </c>
      <c r="H639" s="16" t="inlineStr">
        <is>
          <t>M</t>
        </is>
      </c>
      <c r="I639" s="17" t="inlineStr">
        <is>
          <t>Métiers &amp; Artisanat</t>
        </is>
      </c>
      <c r="J639" s="18" t="n">
        <v>0</v>
      </c>
      <c r="K639" s="18" t="n">
        <v>1</v>
      </c>
      <c r="L639" s="17" t="inlineStr">
        <is>
          <t>16 233 B</t>
        </is>
      </c>
      <c r="M639" s="17" t="inlineStr">
        <is>
          <t>M APERAHAMA-TAAROA TILLY PHILIPPE VAITU</t>
        </is>
      </c>
      <c r="N639" s="17" t="inlineStr">
        <is>
          <t>Gérant</t>
        </is>
      </c>
      <c r="O639" s="18" t="inlineStr">
        <is>
          <t>14185</t>
        </is>
      </c>
    </row>
    <row r="640" ht="20" customHeight="1">
      <c r="A640" s="13" t="inlineStr">
        <is>
          <t>PAEA-CCISM-0639</t>
        </is>
      </c>
      <c r="B640" s="13" t="inlineStr">
        <is>
          <t>B43195</t>
        </is>
      </c>
      <c r="C640" s="14" t="inlineStr">
        <is>
          <t>SARL HERERAGI</t>
        </is>
      </c>
      <c r="D640" s="14" t="inlineStr">
        <is>
          <t>98711 PAEA</t>
        </is>
      </c>
      <c r="E640" s="14" t="inlineStr">
        <is>
          <t>SARL</t>
        </is>
      </c>
      <c r="F640" s="14" t="inlineStr">
        <is>
          <t>Société</t>
        </is>
      </c>
      <c r="G640" s="13" t="inlineStr">
        <is>
          <t>4339Z</t>
        </is>
      </c>
      <c r="H640" s="13" t="inlineStr">
        <is>
          <t>M</t>
        </is>
      </c>
      <c r="I640" s="14" t="inlineStr">
        <is>
          <t>Métiers &amp; Artisanat</t>
        </is>
      </c>
      <c r="J640" s="15" t="n">
        <v>0</v>
      </c>
      <c r="K640" s="15" t="n">
        <v>1</v>
      </c>
      <c r="L640" s="14" t="inlineStr">
        <is>
          <t>15 75 B</t>
        </is>
      </c>
      <c r="M640" s="14" t="inlineStr">
        <is>
          <t>M DARROUZES MOEHAU RUBEN</t>
        </is>
      </c>
      <c r="N640" s="14" t="inlineStr">
        <is>
          <t>Gérant</t>
        </is>
      </c>
      <c r="O640" s="15" t="inlineStr">
        <is>
          <t>14188</t>
        </is>
      </c>
    </row>
    <row r="641" ht="20" customHeight="1">
      <c r="A641" s="16" t="inlineStr">
        <is>
          <t>PAEA-CCISM-0640</t>
        </is>
      </c>
      <c r="B641" s="16" t="inlineStr">
        <is>
          <t>E73997</t>
        </is>
      </c>
      <c r="C641" s="17" t="inlineStr">
        <is>
          <t>SCHALLER FRANCIS</t>
        </is>
      </c>
      <c r="D641" s="17" t="inlineStr">
        <is>
          <t>QUARTIER TEAHORO 98711 PAEA</t>
        </is>
      </c>
      <c r="E641" s="17" t="inlineStr">
        <is>
          <t>Patenté (Personne Physique)</t>
        </is>
      </c>
      <c r="F641" s="17" t="inlineStr">
        <is>
          <t>Patenté</t>
        </is>
      </c>
      <c r="G641" s="16" t="inlineStr">
        <is>
          <t>4120B</t>
        </is>
      </c>
      <c r="H641" s="16" t="inlineStr">
        <is>
          <t>M</t>
        </is>
      </c>
      <c r="I641" s="17" t="inlineStr">
        <is>
          <t>Métiers &amp; Artisanat</t>
        </is>
      </c>
      <c r="J641" s="18" t="n">
        <v>0</v>
      </c>
      <c r="K641" s="18" t="n">
        <v>1</v>
      </c>
      <c r="L641" s="17" t="inlineStr">
        <is>
          <t>22 951 A</t>
        </is>
      </c>
      <c r="M641" s="17" t="inlineStr">
        <is>
          <t>M SCHALLER FRANCIS</t>
        </is>
      </c>
      <c r="N641" s="17" t="inlineStr">
        <is>
          <t>Chef d entreprise</t>
        </is>
      </c>
      <c r="O641" s="18" t="inlineStr">
        <is>
          <t>14240</t>
        </is>
      </c>
    </row>
    <row r="642" ht="20" customHeight="1">
      <c r="A642" s="13" t="inlineStr">
        <is>
          <t>PAEA-CCISM-0641</t>
        </is>
      </c>
      <c r="B642" s="13" t="inlineStr">
        <is>
          <t>248047</t>
        </is>
      </c>
      <c r="C642" s="14" t="inlineStr">
        <is>
          <t>SEGUY ALAIN</t>
        </is>
      </c>
      <c r="D642" s="14" t="inlineStr">
        <is>
          <t>PAEA PK 19.9 C/MER 98711 PAEA</t>
        </is>
      </c>
      <c r="E642" s="14" t="inlineStr">
        <is>
          <t>Patenté (Personne Physique)</t>
        </is>
      </c>
      <c r="F642" s="14" t="inlineStr">
        <is>
          <t>Patenté</t>
        </is>
      </c>
      <c r="G642" s="13" t="inlineStr">
        <is>
          <t>4520A</t>
        </is>
      </c>
      <c r="H642" s="13" t="inlineStr">
        <is>
          <t>M</t>
        </is>
      </c>
      <c r="I642" s="14" t="inlineStr">
        <is>
          <t>Métiers &amp; Artisanat</t>
        </is>
      </c>
      <c r="J642" s="15" t="n">
        <v>0</v>
      </c>
      <c r="K642" s="15" t="n">
        <v>1</v>
      </c>
      <c r="L642" s="14" t="inlineStr"/>
      <c r="M642" s="14" t="inlineStr">
        <is>
          <t>19560 A</t>
        </is>
      </c>
      <c r="N642" s="14" t="inlineStr"/>
      <c r="O642" s="15" t="inlineStr"/>
    </row>
    <row r="643" ht="20" customHeight="1">
      <c r="A643" s="16" t="inlineStr">
        <is>
          <t>PAEA-CCISM-0642</t>
        </is>
      </c>
      <c r="B643" s="16" t="inlineStr">
        <is>
          <t>E78715</t>
        </is>
      </c>
      <c r="C643" s="17" t="inlineStr">
        <is>
          <t>SERVICES ET TRAVAUX ELECTRIQUES DE POLYNESIE</t>
        </is>
      </c>
      <c r="D643" s="17" t="inlineStr">
        <is>
          <t>CHEMIN AVE VILLA GRAUX 5E 98711 PAEA</t>
        </is>
      </c>
      <c r="E643" s="17" t="inlineStr">
        <is>
          <t>SARL</t>
        </is>
      </c>
      <c r="F643" s="17" t="inlineStr">
        <is>
          <t>Société</t>
        </is>
      </c>
      <c r="G643" s="16" t="inlineStr">
        <is>
          <t>4321A</t>
        </is>
      </c>
      <c r="H643" s="16" t="inlineStr">
        <is>
          <t>M</t>
        </is>
      </c>
      <c r="I643" s="17" t="inlineStr">
        <is>
          <t>Métiers &amp; Artisanat</t>
        </is>
      </c>
      <c r="J643" s="18" t="n">
        <v>0</v>
      </c>
      <c r="K643" s="18" t="n">
        <v>1</v>
      </c>
      <c r="L643" s="17" t="inlineStr">
        <is>
          <t>22 494 B</t>
        </is>
      </c>
      <c r="M643" s="17" t="inlineStr">
        <is>
          <t>M TEHEIPUARII YVES</t>
        </is>
      </c>
      <c r="N643" s="17" t="inlineStr">
        <is>
          <t>Gérant</t>
        </is>
      </c>
      <c r="O643" s="18" t="inlineStr">
        <is>
          <t>14284</t>
        </is>
      </c>
    </row>
    <row r="644" ht="20" customHeight="1">
      <c r="A644" s="13" t="inlineStr">
        <is>
          <t>PAEA-CCISM-0643</t>
        </is>
      </c>
      <c r="B644" s="13" t="inlineStr">
        <is>
          <t>821504</t>
        </is>
      </c>
      <c r="C644" s="14" t="inlineStr">
        <is>
          <t>SIERRA DOMINIQUE</t>
        </is>
      </c>
      <c r="D644" s="14" t="inlineStr">
        <is>
          <t>RTE MARAETAATA 98711 PAEA</t>
        </is>
      </c>
      <c r="E644" s="14" t="inlineStr">
        <is>
          <t>Patenté (Personne Physique)</t>
        </is>
      </c>
      <c r="F644" s="14" t="inlineStr">
        <is>
          <t>Patenté</t>
        </is>
      </c>
      <c r="G644" s="13" t="inlineStr">
        <is>
          <t>4339Z</t>
        </is>
      </c>
      <c r="H644" s="13" t="inlineStr">
        <is>
          <t>M</t>
        </is>
      </c>
      <c r="I644" s="14" t="inlineStr">
        <is>
          <t>Métiers &amp; Artisanat</t>
        </is>
      </c>
      <c r="J644" s="15" t="n">
        <v>0</v>
      </c>
      <c r="K644" s="15" t="n">
        <v>1</v>
      </c>
      <c r="L644" s="14" t="inlineStr">
        <is>
          <t>15 64 A</t>
        </is>
      </c>
      <c r="M644" s="14" t="inlineStr">
        <is>
          <t>M SIERRA DOMINIQUE</t>
        </is>
      </c>
      <c r="N644" s="14" t="inlineStr">
        <is>
          <t>Chef d entreprise</t>
        </is>
      </c>
      <c r="O644" s="15" t="inlineStr">
        <is>
          <t>14316</t>
        </is>
      </c>
    </row>
    <row r="645" ht="20" customHeight="1">
      <c r="A645" s="16" t="inlineStr">
        <is>
          <t>PAEA-CCISM-0644</t>
        </is>
      </c>
      <c r="B645" s="16" t="inlineStr">
        <is>
          <t>713404</t>
        </is>
      </c>
      <c r="C645" s="17" t="inlineStr">
        <is>
          <t>SIMON ANNE</t>
        </is>
      </c>
      <c r="D645" s="17" t="inlineStr">
        <is>
          <t>VALLEE OROFERO 98711 PAEA</t>
        </is>
      </c>
      <c r="E645" s="17" t="inlineStr">
        <is>
          <t>Patenté (Personne Physique)</t>
        </is>
      </c>
      <c r="F645" s="17" t="inlineStr">
        <is>
          <t>Patenté</t>
        </is>
      </c>
      <c r="G645" s="16" t="inlineStr">
        <is>
          <t>3212Z</t>
        </is>
      </c>
      <c r="H645" s="16" t="inlineStr">
        <is>
          <t>M</t>
        </is>
      </c>
      <c r="I645" s="17" t="inlineStr">
        <is>
          <t>Métiers &amp; Artisanat</t>
        </is>
      </c>
      <c r="J645" s="18" t="n">
        <v>0</v>
      </c>
      <c r="K645" s="18" t="n">
        <v>1</v>
      </c>
      <c r="L645" s="17" t="inlineStr">
        <is>
          <t>22 1911 A</t>
        </is>
      </c>
      <c r="M645" s="17" t="inlineStr">
        <is>
          <t>Mme SIMON ANNE</t>
        </is>
      </c>
      <c r="N645" s="17" t="inlineStr">
        <is>
          <t>Chef d entreprise</t>
        </is>
      </c>
      <c r="O645" s="18" t="inlineStr">
        <is>
          <t>14322</t>
        </is>
      </c>
    </row>
    <row r="646" ht="20" customHeight="1">
      <c r="A646" s="13" t="inlineStr">
        <is>
          <t>PAEA-CCISM-0645</t>
        </is>
      </c>
      <c r="B646" s="13" t="inlineStr">
        <is>
          <t>455006</t>
        </is>
      </c>
      <c r="C646" s="14" t="inlineStr">
        <is>
          <t>SINNE BENJAMIN</t>
        </is>
      </c>
      <c r="D646" s="14" t="inlineStr">
        <is>
          <t>PAEA PK 20 C/MONT - SERV LANTEREIS 98711 PAEA</t>
        </is>
      </c>
      <c r="E646" s="14" t="inlineStr">
        <is>
          <t>Patenté (Personne Physique)</t>
        </is>
      </c>
      <c r="F646" s="14" t="inlineStr">
        <is>
          <t>Patenté</t>
        </is>
      </c>
      <c r="G646" s="13" t="inlineStr">
        <is>
          <t>4321A</t>
        </is>
      </c>
      <c r="H646" s="13" t="inlineStr">
        <is>
          <t>M</t>
        </is>
      </c>
      <c r="I646" s="14" t="inlineStr">
        <is>
          <t>Métiers &amp; Artisanat</t>
        </is>
      </c>
      <c r="J646" s="15" t="n">
        <v>0</v>
      </c>
      <c r="K646" s="15" t="n">
        <v>1</v>
      </c>
      <c r="L646" s="14" t="inlineStr">
        <is>
          <t>06 1299 A</t>
        </is>
      </c>
      <c r="M646" s="14" t="inlineStr">
        <is>
          <t>M SINNE BENJAMIN</t>
        </is>
      </c>
      <c r="N646" s="14" t="inlineStr">
        <is>
          <t>Chef d entreprise</t>
        </is>
      </c>
      <c r="O646" s="15" t="inlineStr">
        <is>
          <t>14334</t>
        </is>
      </c>
    </row>
    <row r="647" ht="20" customHeight="1">
      <c r="A647" s="16" t="inlineStr">
        <is>
          <t>PAEA-CCISM-0646</t>
        </is>
      </c>
      <c r="B647" s="16" t="inlineStr">
        <is>
          <t>A68509</t>
        </is>
      </c>
      <c r="C647" s="17" t="inlineStr">
        <is>
          <t>SNOW TETI AUA</t>
        </is>
      </c>
      <c r="D647" s="17" t="inlineStr">
        <is>
          <t>98711 PAEA</t>
        </is>
      </c>
      <c r="E647" s="17" t="inlineStr">
        <is>
          <t>Patenté (Personne Physique)</t>
        </is>
      </c>
      <c r="F647" s="17" t="inlineStr">
        <is>
          <t>Patenté</t>
        </is>
      </c>
      <c r="G647" s="16" t="inlineStr">
        <is>
          <t>4339Z</t>
        </is>
      </c>
      <c r="H647" s="16" t="inlineStr">
        <is>
          <t>M</t>
        </is>
      </c>
      <c r="I647" s="17" t="inlineStr">
        <is>
          <t>Métiers &amp; Artisanat</t>
        </is>
      </c>
      <c r="J647" s="18" t="n">
        <v>0</v>
      </c>
      <c r="K647" s="18" t="n">
        <v>1</v>
      </c>
      <c r="L647" s="17" t="inlineStr">
        <is>
          <t>13 941 A</t>
        </is>
      </c>
      <c r="M647" s="17" t="inlineStr">
        <is>
          <t>M SNOW TETI AUA</t>
        </is>
      </c>
      <c r="N647" s="17" t="inlineStr">
        <is>
          <t>Chef d entreprise</t>
        </is>
      </c>
      <c r="O647" s="18" t="inlineStr">
        <is>
          <t>14354</t>
        </is>
      </c>
    </row>
    <row r="648" ht="20" customHeight="1">
      <c r="A648" s="13" t="inlineStr">
        <is>
          <t>PAEA-CCISM-0647</t>
        </is>
      </c>
      <c r="B648" s="13" t="inlineStr">
        <is>
          <t>D54974</t>
        </is>
      </c>
      <c r="C648" s="14" t="inlineStr">
        <is>
          <t>SOCIETE IA ORA CLEAN</t>
        </is>
      </c>
      <c r="D648" s="14" t="inlineStr">
        <is>
          <t>QUARTIER TIAPA 98711 PAEA</t>
        </is>
      </c>
      <c r="E648" s="14" t="inlineStr">
        <is>
          <t>SAS</t>
        </is>
      </c>
      <c r="F648" s="14" t="inlineStr">
        <is>
          <t>Société</t>
        </is>
      </c>
      <c r="G648" s="13" t="inlineStr">
        <is>
          <t>8121Z</t>
        </is>
      </c>
      <c r="H648" s="13" t="inlineStr">
        <is>
          <t>M</t>
        </is>
      </c>
      <c r="I648" s="14" t="inlineStr">
        <is>
          <t>Métiers &amp; Artisanat</t>
        </is>
      </c>
      <c r="J648" s="15" t="n">
        <v>1</v>
      </c>
      <c r="K648" s="15" t="n">
        <v>1</v>
      </c>
      <c r="L648" s="14" t="inlineStr">
        <is>
          <t>19 393 B</t>
        </is>
      </c>
      <c r="M648" s="14" t="inlineStr">
        <is>
          <t>M DETRUN GRÉGORY BRUNO</t>
        </is>
      </c>
      <c r="N648" s="14" t="inlineStr">
        <is>
          <t>Président de SAS</t>
        </is>
      </c>
      <c r="O648" s="15" t="inlineStr">
        <is>
          <t>14360</t>
        </is>
      </c>
    </row>
    <row r="649" ht="20" customHeight="1">
      <c r="A649" s="16" t="inlineStr">
        <is>
          <t>PAEA-CCISM-0648</t>
        </is>
      </c>
      <c r="B649" s="16" t="inlineStr">
        <is>
          <t>451328</t>
        </is>
      </c>
      <c r="C649" s="17" t="inlineStr">
        <is>
          <t>STADELMANN LAURENT</t>
        </is>
      </c>
      <c r="D649" s="17" t="inlineStr">
        <is>
          <t>PAEA PK 21.900 CONT 98711 PAEA</t>
        </is>
      </c>
      <c r="E649" s="17" t="inlineStr">
        <is>
          <t>Patenté (Personne Physique)</t>
        </is>
      </c>
      <c r="F649" s="17" t="inlineStr">
        <is>
          <t>Patenté</t>
        </is>
      </c>
      <c r="G649" s="16" t="inlineStr">
        <is>
          <t>4333Z</t>
        </is>
      </c>
      <c r="H649" s="16" t="inlineStr">
        <is>
          <t>M</t>
        </is>
      </c>
      <c r="I649" s="17" t="inlineStr">
        <is>
          <t>Métiers &amp; Artisanat</t>
        </is>
      </c>
      <c r="J649" s="18" t="n">
        <v>0</v>
      </c>
      <c r="K649" s="18" t="n">
        <v>1</v>
      </c>
      <c r="L649" s="17" t="inlineStr">
        <is>
          <t>30644 A</t>
        </is>
      </c>
      <c r="M649" s="17" t="inlineStr">
        <is>
          <t>M STADELMANN LAURENT</t>
        </is>
      </c>
      <c r="N649" s="17" t="inlineStr">
        <is>
          <t>Chef d entreprise</t>
        </is>
      </c>
      <c r="O649" s="18" t="inlineStr">
        <is>
          <t>14405</t>
        </is>
      </c>
    </row>
    <row r="650" ht="20" customHeight="1">
      <c r="A650" s="13" t="inlineStr">
        <is>
          <t>PAEA-CCISM-0649</t>
        </is>
      </c>
      <c r="B650" s="13" t="inlineStr">
        <is>
          <t>F84752</t>
        </is>
      </c>
      <c r="C650" s="14" t="inlineStr">
        <is>
          <t>STAHLKE HELGA</t>
        </is>
      </c>
      <c r="D650" s="14" t="inlineStr">
        <is>
          <t>LOT 20 LOT TAREVAREVA VALLEE OROFERO 98711 PAEA</t>
        </is>
      </c>
      <c r="E650" s="14" t="inlineStr">
        <is>
          <t>Patenté (Personne Physique)</t>
        </is>
      </c>
      <c r="F650" s="14" t="inlineStr">
        <is>
          <t>Patenté</t>
        </is>
      </c>
      <c r="G650" s="13" t="inlineStr">
        <is>
          <t>1330Z</t>
        </is>
      </c>
      <c r="H650" s="13" t="inlineStr">
        <is>
          <t>M</t>
        </is>
      </c>
      <c r="I650" s="14" t="inlineStr">
        <is>
          <t>Métiers &amp; Artisanat</t>
        </is>
      </c>
      <c r="J650" s="15" t="n">
        <v>0</v>
      </c>
      <c r="K650" s="15" t="n">
        <v>1</v>
      </c>
      <c r="L650" s="14" t="inlineStr">
        <is>
          <t>24 1298 A</t>
        </is>
      </c>
      <c r="M650" s="14" t="inlineStr">
        <is>
          <t>Mme STAHLKE HELGA</t>
        </is>
      </c>
      <c r="N650" s="14" t="inlineStr">
        <is>
          <t>Chef d entreprise</t>
        </is>
      </c>
      <c r="O650" s="15" t="inlineStr">
        <is>
          <t>14406</t>
        </is>
      </c>
    </row>
    <row r="651" ht="20" customHeight="1">
      <c r="A651" s="16" t="inlineStr">
        <is>
          <t>PAEA-CCISM-0650</t>
        </is>
      </c>
      <c r="B651" s="16" t="inlineStr">
        <is>
          <t>943498</t>
        </is>
      </c>
      <c r="C651" s="17" t="inlineStr">
        <is>
          <t>TAATA ERIKA</t>
        </is>
      </c>
      <c r="D651" s="17" t="inlineStr">
        <is>
          <t>VAITUPA 98711 PAEA</t>
        </is>
      </c>
      <c r="E651" s="17" t="inlineStr">
        <is>
          <t>Patenté (Personne Physique)</t>
        </is>
      </c>
      <c r="F651" s="17" t="inlineStr">
        <is>
          <t>Patenté</t>
        </is>
      </c>
      <c r="G651" s="16" t="inlineStr">
        <is>
          <t>3299Z</t>
        </is>
      </c>
      <c r="H651" s="16" t="inlineStr">
        <is>
          <t>M</t>
        </is>
      </c>
      <c r="I651" s="17" t="inlineStr">
        <is>
          <t>Métiers &amp; Artisanat</t>
        </is>
      </c>
      <c r="J651" s="18" t="n">
        <v>0</v>
      </c>
      <c r="K651" s="18" t="n">
        <v>1</v>
      </c>
      <c r="L651" s="17" t="inlineStr">
        <is>
          <t>24 562 A</t>
        </is>
      </c>
      <c r="M651" s="17" t="inlineStr">
        <is>
          <t>Mme TAATA ERIKA</t>
        </is>
      </c>
      <c r="N651" s="17" t="inlineStr">
        <is>
          <t>Chef d entreprise</t>
        </is>
      </c>
      <c r="O651" s="18" t="inlineStr">
        <is>
          <t>14480</t>
        </is>
      </c>
    </row>
    <row r="652" ht="20" customHeight="1">
      <c r="A652" s="13" t="inlineStr">
        <is>
          <t>PAEA-CCISM-0651</t>
        </is>
      </c>
      <c r="B652" s="13" t="inlineStr">
        <is>
          <t>450254</t>
        </is>
      </c>
      <c r="C652" s="14" t="inlineStr">
        <is>
          <t>TAEREA NANUA</t>
        </is>
      </c>
      <c r="D652" s="14" t="inlineStr">
        <is>
          <t>LOT 34 98711 PAEA</t>
        </is>
      </c>
      <c r="E652" s="14" t="inlineStr">
        <is>
          <t>Patenté (Personne Physique)</t>
        </is>
      </c>
      <c r="F652" s="14" t="inlineStr">
        <is>
          <t>Patenté</t>
        </is>
      </c>
      <c r="G652" s="13" t="inlineStr">
        <is>
          <t>4339Z</t>
        </is>
      </c>
      <c r="H652" s="13" t="inlineStr">
        <is>
          <t>M</t>
        </is>
      </c>
      <c r="I652" s="14" t="inlineStr">
        <is>
          <t>Métiers &amp; Artisanat</t>
        </is>
      </c>
      <c r="J652" s="15" t="n">
        <v>0</v>
      </c>
      <c r="K652" s="15" t="n">
        <v>1</v>
      </c>
      <c r="L652" s="14" t="inlineStr">
        <is>
          <t>23 2182 A</t>
        </is>
      </c>
      <c r="M652" s="14" t="inlineStr">
        <is>
          <t>M TAEREA NANUA</t>
        </is>
      </c>
      <c r="N652" s="14" t="inlineStr">
        <is>
          <t>Chef d entreprise</t>
        </is>
      </c>
      <c r="O652" s="15" t="inlineStr">
        <is>
          <t>14534</t>
        </is>
      </c>
    </row>
    <row r="653" ht="20" customHeight="1">
      <c r="A653" s="16" t="inlineStr">
        <is>
          <t>PAEA-CCISM-0652</t>
        </is>
      </c>
      <c r="B653" s="16" t="inlineStr">
        <is>
          <t>628982</t>
        </is>
      </c>
      <c r="C653" s="17" t="inlineStr">
        <is>
          <t>TAGAROA RUAITI</t>
        </is>
      </c>
      <c r="D653" s="17" t="inlineStr">
        <is>
          <t>SERV AHOTU 98711 PAEA</t>
        </is>
      </c>
      <c r="E653" s="17" t="inlineStr">
        <is>
          <t>Patenté (Personne Physique)</t>
        </is>
      </c>
      <c r="F653" s="17" t="inlineStr">
        <is>
          <t>Patenté</t>
        </is>
      </c>
      <c r="G653" s="16" t="inlineStr">
        <is>
          <t>8121Z</t>
        </is>
      </c>
      <c r="H653" s="16" t="inlineStr">
        <is>
          <t>M</t>
        </is>
      </c>
      <c r="I653" s="17" t="inlineStr">
        <is>
          <t>Métiers &amp; Artisanat</t>
        </is>
      </c>
      <c r="J653" s="18" t="n">
        <v>0</v>
      </c>
      <c r="K653" s="18" t="n">
        <v>1</v>
      </c>
      <c r="L653" s="17" t="inlineStr">
        <is>
          <t>17 2081 A</t>
        </is>
      </c>
      <c r="M653" s="17" t="inlineStr">
        <is>
          <t>Mme TAGAROA RUAITI</t>
        </is>
      </c>
      <c r="N653" s="17" t="inlineStr">
        <is>
          <t>Chef d entreprise</t>
        </is>
      </c>
      <c r="O653" s="18" t="inlineStr">
        <is>
          <t>14560</t>
        </is>
      </c>
    </row>
    <row r="654" ht="20" customHeight="1">
      <c r="A654" s="13" t="inlineStr">
        <is>
          <t>PAEA-CCISM-0653</t>
        </is>
      </c>
      <c r="B654" s="13" t="inlineStr">
        <is>
          <t>C61781</t>
        </is>
      </c>
      <c r="C654" s="14" t="inlineStr">
        <is>
          <t>TAHIRORI CAROLINE EMMA HINANO</t>
        </is>
      </c>
      <c r="D654" s="14" t="inlineStr">
        <is>
          <t>QRT CHAPMAN 98711 PAEA</t>
        </is>
      </c>
      <c r="E654" s="14" t="inlineStr">
        <is>
          <t>Patenté (Personne Physique)</t>
        </is>
      </c>
      <c r="F654" s="14" t="inlineStr">
        <is>
          <t>Patenté</t>
        </is>
      </c>
      <c r="G654" s="13" t="inlineStr">
        <is>
          <t>3299Z</t>
        </is>
      </c>
      <c r="H654" s="13" t="inlineStr">
        <is>
          <t>M</t>
        </is>
      </c>
      <c r="I654" s="14" t="inlineStr">
        <is>
          <t>Métiers &amp; Artisanat</t>
        </is>
      </c>
      <c r="J654" s="15" t="n">
        <v>0</v>
      </c>
      <c r="K654" s="15" t="n">
        <v>1</v>
      </c>
      <c r="L654" s="14" t="inlineStr">
        <is>
          <t>17 2714 A</t>
        </is>
      </c>
      <c r="M654" s="14" t="inlineStr">
        <is>
          <t>Mme TAHIRORI CAROLINE EMMA HINANO</t>
        </is>
      </c>
      <c r="N654" s="14" t="inlineStr">
        <is>
          <t>Chef d entreprise</t>
        </is>
      </c>
      <c r="O654" s="15" t="inlineStr">
        <is>
          <t>14605</t>
        </is>
      </c>
    </row>
    <row r="655" ht="20" customHeight="1">
      <c r="A655" s="16" t="inlineStr">
        <is>
          <t>PAEA-CCISM-0654</t>
        </is>
      </c>
      <c r="B655" s="16" t="inlineStr">
        <is>
          <t>C15753</t>
        </is>
      </c>
      <c r="C655" s="17" t="inlineStr">
        <is>
          <t>TAHITI DETOX CENTER</t>
        </is>
      </c>
      <c r="D655" s="17" t="inlineStr">
        <is>
          <t>SERV FROGIER 98711 PAEA</t>
        </is>
      </c>
      <c r="E655" s="17" t="inlineStr">
        <is>
          <t>SARL</t>
        </is>
      </c>
      <c r="F655" s="17" t="inlineStr">
        <is>
          <t>Société</t>
        </is>
      </c>
      <c r="G655" s="16" t="inlineStr">
        <is>
          <t>9602B</t>
        </is>
      </c>
      <c r="H655" s="16" t="inlineStr">
        <is>
          <t>M</t>
        </is>
      </c>
      <c r="I655" s="17" t="inlineStr">
        <is>
          <t>Métiers &amp; Artisanat</t>
        </is>
      </c>
      <c r="J655" s="18" t="n">
        <v>0</v>
      </c>
      <c r="K655" s="18" t="n">
        <v>1</v>
      </c>
      <c r="L655" s="17" t="inlineStr">
        <is>
          <t>16 322 B</t>
        </is>
      </c>
      <c r="M655" s="17" t="inlineStr">
        <is>
          <t>Mme FROGIER MILUSKA MARILYNE</t>
        </is>
      </c>
      <c r="N655" s="17" t="inlineStr">
        <is>
          <t>Gérant</t>
        </is>
      </c>
      <c r="O655" s="18" t="inlineStr">
        <is>
          <t>14622</t>
        </is>
      </c>
    </row>
    <row r="656" ht="20" customHeight="1">
      <c r="A656" s="13" t="inlineStr">
        <is>
          <t>PAEA-CCISM-0655</t>
        </is>
      </c>
      <c r="B656" s="13" t="inlineStr">
        <is>
          <t>D81050</t>
        </is>
      </c>
      <c r="C656" s="14" t="inlineStr">
        <is>
          <t>TAIOHO LEON</t>
        </is>
      </c>
      <c r="D656" s="14" t="inlineStr">
        <is>
          <t>SERVITUDE TAURU 98711 PAEA</t>
        </is>
      </c>
      <c r="E656" s="14" t="inlineStr">
        <is>
          <t>Patenté (Personne Physique)</t>
        </is>
      </c>
      <c r="F656" s="14" t="inlineStr">
        <is>
          <t>Patenté</t>
        </is>
      </c>
      <c r="G656" s="13" t="inlineStr">
        <is>
          <t>4520A</t>
        </is>
      </c>
      <c r="H656" s="13" t="inlineStr">
        <is>
          <t>M</t>
        </is>
      </c>
      <c r="I656" s="14" t="inlineStr">
        <is>
          <t>Métiers &amp; Artisanat</t>
        </is>
      </c>
      <c r="J656" s="15" t="n">
        <v>0</v>
      </c>
      <c r="K656" s="15" t="n">
        <v>1</v>
      </c>
      <c r="L656" s="14" t="inlineStr">
        <is>
          <t>20 1484 A</t>
        </is>
      </c>
      <c r="M656" s="14" t="inlineStr">
        <is>
          <t>M TAIOHO LEON</t>
        </is>
      </c>
      <c r="N656" s="14" t="inlineStr">
        <is>
          <t>Chef d entreprise</t>
        </is>
      </c>
      <c r="O656" s="15" t="inlineStr">
        <is>
          <t>14721</t>
        </is>
      </c>
    </row>
    <row r="657" ht="20" customHeight="1">
      <c r="A657" s="16" t="inlineStr">
        <is>
          <t>PAEA-CCISM-0656</t>
        </is>
      </c>
      <c r="B657" s="16" t="inlineStr">
        <is>
          <t>F63145</t>
        </is>
      </c>
      <c r="C657" s="17" t="inlineStr">
        <is>
          <t>TALARMEIN MICKAEL TAUAKEHA</t>
        </is>
      </c>
      <c r="D657" s="17" t="inlineStr">
        <is>
          <t>VAIATU 1 LOT 40 98711 PAEA</t>
        </is>
      </c>
      <c r="E657" s="17" t="inlineStr">
        <is>
          <t>Patenté (Personne Physique)</t>
        </is>
      </c>
      <c r="F657" s="17" t="inlineStr">
        <is>
          <t>Patenté</t>
        </is>
      </c>
      <c r="G657" s="16" t="inlineStr">
        <is>
          <t>3299Z</t>
        </is>
      </c>
      <c r="H657" s="16" t="inlineStr">
        <is>
          <t>M</t>
        </is>
      </c>
      <c r="I657" s="17" t="inlineStr">
        <is>
          <t>Métiers &amp; Artisanat</t>
        </is>
      </c>
      <c r="J657" s="18" t="n">
        <v>0</v>
      </c>
      <c r="K657" s="18" t="n">
        <v>1</v>
      </c>
      <c r="L657" s="17" t="inlineStr">
        <is>
          <t>23 3247 A</t>
        </is>
      </c>
      <c r="M657" s="17" t="inlineStr">
        <is>
          <t>M TALARMEIN MICKAEL TAUAKEHA</t>
        </is>
      </c>
      <c r="N657" s="17" t="inlineStr">
        <is>
          <t>Chef d entreprise</t>
        </is>
      </c>
      <c r="O657" s="18" t="inlineStr">
        <is>
          <t>14759</t>
        </is>
      </c>
    </row>
    <row r="658" ht="20" customHeight="1">
      <c r="A658" s="13" t="inlineStr">
        <is>
          <t>PAEA-CCISM-0657</t>
        </is>
      </c>
      <c r="B658" s="13" t="inlineStr">
        <is>
          <t>034256</t>
        </is>
      </c>
      <c r="C658" s="14" t="inlineStr">
        <is>
          <t>TAMA AIMANA</t>
        </is>
      </c>
      <c r="D658" s="14" t="inlineStr">
        <is>
          <t>SERVITUDE TUFARIUA QTR TOUSSIEUX 98711 PAEA</t>
        </is>
      </c>
      <c r="E658" s="14" t="inlineStr">
        <is>
          <t>Patenté (Personne Physique)</t>
        </is>
      </c>
      <c r="F658" s="14" t="inlineStr">
        <is>
          <t>Patenté</t>
        </is>
      </c>
      <c r="G658" s="13" t="inlineStr">
        <is>
          <t>4339Z</t>
        </is>
      </c>
      <c r="H658" s="13" t="inlineStr">
        <is>
          <t>M</t>
        </is>
      </c>
      <c r="I658" s="14" t="inlineStr">
        <is>
          <t>Métiers &amp; Artisanat</t>
        </is>
      </c>
      <c r="J658" s="15" t="n">
        <v>0</v>
      </c>
      <c r="K658" s="15" t="n">
        <v>1</v>
      </c>
      <c r="L658" s="14" t="inlineStr">
        <is>
          <t>21 1325 A</t>
        </is>
      </c>
      <c r="M658" s="14" t="inlineStr">
        <is>
          <t>M TAMA AIMANA</t>
        </is>
      </c>
      <c r="N658" s="14" t="inlineStr">
        <is>
          <t>Chef d entreprise</t>
        </is>
      </c>
      <c r="O658" s="15" t="inlineStr">
        <is>
          <t>14763</t>
        </is>
      </c>
    </row>
    <row r="659" ht="20" customHeight="1">
      <c r="A659" s="16" t="inlineStr">
        <is>
          <t>PAEA-CCISM-0658</t>
        </is>
      </c>
      <c r="B659" s="16" t="inlineStr">
        <is>
          <t>A52651</t>
        </is>
      </c>
      <c r="C659" s="17" t="inlineStr">
        <is>
          <t>TAMAEHU PERIA</t>
        </is>
      </c>
      <c r="D659" s="17" t="inlineStr">
        <is>
          <t>PAEA PK 24.500 C/MONT 98711 PAEA</t>
        </is>
      </c>
      <c r="E659" s="17" t="inlineStr">
        <is>
          <t>Patenté (Personne Physique)</t>
        </is>
      </c>
      <c r="F659" s="17" t="inlineStr">
        <is>
          <t>Patenté</t>
        </is>
      </c>
      <c r="G659" s="16" t="inlineStr">
        <is>
          <t>4120B</t>
        </is>
      </c>
      <c r="H659" s="16" t="inlineStr">
        <is>
          <t>M</t>
        </is>
      </c>
      <c r="I659" s="17" t="inlineStr">
        <is>
          <t>Métiers &amp; Artisanat</t>
        </is>
      </c>
      <c r="J659" s="18" t="n">
        <v>0</v>
      </c>
      <c r="K659" s="18" t="n">
        <v>1</v>
      </c>
      <c r="L659" s="17" t="inlineStr">
        <is>
          <t>12 2313 A</t>
        </is>
      </c>
      <c r="M659" s="17" t="inlineStr">
        <is>
          <t>M TAMAEHU PERIA</t>
        </is>
      </c>
      <c r="N659" s="17" t="inlineStr">
        <is>
          <t>Chef d entreprise</t>
        </is>
      </c>
      <c r="O659" s="18" t="inlineStr">
        <is>
          <t>14779</t>
        </is>
      </c>
    </row>
    <row r="660" ht="20" customHeight="1">
      <c r="A660" s="13" t="inlineStr">
        <is>
          <t>PAEA-CCISM-0659</t>
        </is>
      </c>
      <c r="B660" s="13" t="inlineStr">
        <is>
          <t>D00597</t>
        </is>
      </c>
      <c r="C660" s="14" t="inlineStr">
        <is>
          <t>TAMAITITAHIO HITI PAUL</t>
        </is>
      </c>
      <c r="D660" s="14" t="inlineStr">
        <is>
          <t>QUARTIER TOUSSIEUX 98711 PAEA</t>
        </is>
      </c>
      <c r="E660" s="14" t="inlineStr">
        <is>
          <t>Patenté (Personne Physique)</t>
        </is>
      </c>
      <c r="F660" s="14" t="inlineStr">
        <is>
          <t>Patenté</t>
        </is>
      </c>
      <c r="G660" s="13" t="inlineStr">
        <is>
          <t>8130Z</t>
        </is>
      </c>
      <c r="H660" s="13" t="inlineStr">
        <is>
          <t>M</t>
        </is>
      </c>
      <c r="I660" s="14" t="inlineStr">
        <is>
          <t>Métiers &amp; Artisanat</t>
        </is>
      </c>
      <c r="J660" s="15" t="n">
        <v>0</v>
      </c>
      <c r="K660" s="15" t="n">
        <v>1</v>
      </c>
      <c r="L660" s="14" t="inlineStr">
        <is>
          <t>20 2439 A</t>
        </is>
      </c>
      <c r="M660" s="14" t="inlineStr">
        <is>
          <t>M TAMAITITAHIO HITI PAUL</t>
        </is>
      </c>
      <c r="N660" s="14" t="inlineStr">
        <is>
          <t>Chef d entreprise</t>
        </is>
      </c>
      <c r="O660" s="15" t="inlineStr">
        <is>
          <t>14794</t>
        </is>
      </c>
    </row>
    <row r="661" ht="20" customHeight="1">
      <c r="A661" s="16" t="inlineStr">
        <is>
          <t>PAEA-CCISM-0660</t>
        </is>
      </c>
      <c r="B661" s="16" t="inlineStr">
        <is>
          <t>D56680</t>
        </is>
      </c>
      <c r="C661" s="17" t="inlineStr">
        <is>
          <t>TAMAITITAHIO NEE TAUFA ISMERALDA VAITOMINA</t>
        </is>
      </c>
      <c r="D661" s="17" t="inlineStr">
        <is>
          <t>98711 PAEA</t>
        </is>
      </c>
      <c r="E661" s="17" t="inlineStr">
        <is>
          <t>Patenté (Personne Physique)</t>
        </is>
      </c>
      <c r="F661" s="17" t="inlineStr">
        <is>
          <t>Patenté</t>
        </is>
      </c>
      <c r="G661" s="16" t="inlineStr">
        <is>
          <t>9602A</t>
        </is>
      </c>
      <c r="H661" s="16" t="inlineStr">
        <is>
          <t>M</t>
        </is>
      </c>
      <c r="I661" s="17" t="inlineStr">
        <is>
          <t>Métiers &amp; Artisanat</t>
        </is>
      </c>
      <c r="J661" s="18" t="n">
        <v>2</v>
      </c>
      <c r="K661" s="18" t="n">
        <v>1</v>
      </c>
      <c r="L661" s="17" t="inlineStr">
        <is>
          <t>19 3369 A</t>
        </is>
      </c>
      <c r="M661" s="17" t="inlineStr">
        <is>
          <t>Mme TAMAITITAHIO (Née TAUFA) ISMERALDA VAITOMINA</t>
        </is>
      </c>
      <c r="N661" s="17" t="inlineStr">
        <is>
          <t>Chef d entreprise</t>
        </is>
      </c>
      <c r="O661" s="18" t="inlineStr">
        <is>
          <t>14795</t>
        </is>
      </c>
    </row>
    <row r="662" ht="20" customHeight="1">
      <c r="A662" s="13" t="inlineStr">
        <is>
          <t>PAEA-CCISM-0661</t>
        </is>
      </c>
      <c r="B662" s="13" t="inlineStr">
        <is>
          <t>C60353</t>
        </is>
      </c>
      <c r="C662" s="14" t="inlineStr">
        <is>
          <t>TAMARONO TAUI MANARII</t>
        </is>
      </c>
      <c r="D662" s="14" t="inlineStr">
        <is>
          <t>34 LOT CPS 98711 PAEA</t>
        </is>
      </c>
      <c r="E662" s="14" t="inlineStr">
        <is>
          <t>Patenté (Personne Physique)</t>
        </is>
      </c>
      <c r="F662" s="14" t="inlineStr">
        <is>
          <t>Patenté</t>
        </is>
      </c>
      <c r="G662" s="13" t="inlineStr">
        <is>
          <t>8130Z</t>
        </is>
      </c>
      <c r="H662" s="13" t="inlineStr">
        <is>
          <t>M</t>
        </is>
      </c>
      <c r="I662" s="14" t="inlineStr">
        <is>
          <t>Métiers &amp; Artisanat</t>
        </is>
      </c>
      <c r="J662" s="15" t="n">
        <v>0</v>
      </c>
      <c r="K662" s="15" t="n">
        <v>1</v>
      </c>
      <c r="L662" s="14" t="inlineStr">
        <is>
          <t>17 2628 A</t>
        </is>
      </c>
      <c r="M662" s="14" t="inlineStr">
        <is>
          <t>M TAMARONO TAUI MANARII</t>
        </is>
      </c>
      <c r="N662" s="14" t="inlineStr">
        <is>
          <t>Chef d entreprise</t>
        </is>
      </c>
      <c r="O662" s="15" t="inlineStr">
        <is>
          <t>14824</t>
        </is>
      </c>
    </row>
    <row r="663" ht="20" customHeight="1">
      <c r="A663" s="16" t="inlineStr">
        <is>
          <t>PAEA-CCISM-0662</t>
        </is>
      </c>
      <c r="B663" s="16" t="inlineStr">
        <is>
          <t>396895</t>
        </is>
      </c>
      <c r="C663" s="17" t="inlineStr">
        <is>
          <t>TAMATAI MICHEL TAUTU</t>
        </is>
      </c>
      <c r="D663" s="17" t="inlineStr">
        <is>
          <t>PAEA PK 19 C/MONT - QTR.MONTARON 98711 PAEA</t>
        </is>
      </c>
      <c r="E663" s="17" t="inlineStr">
        <is>
          <t>Patenté (Personne Physique)</t>
        </is>
      </c>
      <c r="F663" s="17" t="inlineStr">
        <is>
          <t>Patenté</t>
        </is>
      </c>
      <c r="G663" s="16" t="inlineStr">
        <is>
          <t>4339Z</t>
        </is>
      </c>
      <c r="H663" s="16" t="inlineStr">
        <is>
          <t>M</t>
        </is>
      </c>
      <c r="I663" s="17" t="inlineStr">
        <is>
          <t>Métiers &amp; Artisanat</t>
        </is>
      </c>
      <c r="J663" s="18" t="n">
        <v>0</v>
      </c>
      <c r="K663" s="18" t="n">
        <v>1</v>
      </c>
      <c r="L663" s="17" t="inlineStr">
        <is>
          <t>29597 A</t>
        </is>
      </c>
      <c r="M663" s="17" t="inlineStr">
        <is>
          <t>M TAMATAI MICHEL TAUTU</t>
        </is>
      </c>
      <c r="N663" s="17" t="inlineStr">
        <is>
          <t>Chef d entreprise</t>
        </is>
      </c>
      <c r="O663" s="18" t="inlineStr">
        <is>
          <t>14834</t>
        </is>
      </c>
    </row>
    <row r="664" ht="20" customHeight="1">
      <c r="A664" s="13" t="inlineStr">
        <is>
          <t>PAEA-CCISM-0663</t>
        </is>
      </c>
      <c r="B664" s="13" t="inlineStr">
        <is>
          <t>298117</t>
        </is>
      </c>
      <c r="C664" s="14" t="inlineStr">
        <is>
          <t>TAMUI URBAIN TEIKIMATUA</t>
        </is>
      </c>
      <c r="D664" s="14" t="inlineStr">
        <is>
          <t>PAEA PK 20.800 C/MONT 98711 PAEA</t>
        </is>
      </c>
      <c r="E664" s="14" t="inlineStr">
        <is>
          <t>Patenté (Personne Physique)</t>
        </is>
      </c>
      <c r="F664" s="14" t="inlineStr">
        <is>
          <t>Patenté</t>
        </is>
      </c>
      <c r="G664" s="13" t="inlineStr">
        <is>
          <t>4339Z</t>
        </is>
      </c>
      <c r="H664" s="13" t="inlineStr">
        <is>
          <t>M</t>
        </is>
      </c>
      <c r="I664" s="14" t="inlineStr">
        <is>
          <t>Métiers &amp; Artisanat</t>
        </is>
      </c>
      <c r="J664" s="15" t="n">
        <v>0</v>
      </c>
      <c r="K664" s="15" t="n">
        <v>1</v>
      </c>
      <c r="L664" s="14" t="inlineStr">
        <is>
          <t>21880 A</t>
        </is>
      </c>
      <c r="M664" s="14" t="inlineStr">
        <is>
          <t>M TAMUI URBAIN TEIKIMATUA</t>
        </is>
      </c>
      <c r="N664" s="14" t="inlineStr">
        <is>
          <t>Chef d entreprise</t>
        </is>
      </c>
      <c r="O664" s="15" t="inlineStr">
        <is>
          <t>14847</t>
        </is>
      </c>
    </row>
    <row r="665" ht="20" customHeight="1">
      <c r="A665" s="16" t="inlineStr">
        <is>
          <t>PAEA-CCISM-0664</t>
        </is>
      </c>
      <c r="B665" s="16" t="inlineStr">
        <is>
          <t>C65691</t>
        </is>
      </c>
      <c r="C665" s="17" t="inlineStr">
        <is>
          <t>TANG FAT VAIURA LOANA</t>
        </is>
      </c>
      <c r="D665" s="17" t="inlineStr">
        <is>
          <t>QTR PITO 98711 PAEA</t>
        </is>
      </c>
      <c r="E665" s="17" t="inlineStr">
        <is>
          <t>Patenté (Personne Physique)</t>
        </is>
      </c>
      <c r="F665" s="17" t="inlineStr">
        <is>
          <t>Patenté</t>
        </is>
      </c>
      <c r="G665" s="16" t="inlineStr">
        <is>
          <t>8130Z</t>
        </is>
      </c>
      <c r="H665" s="16" t="inlineStr">
        <is>
          <t>M</t>
        </is>
      </c>
      <c r="I665" s="17" t="inlineStr">
        <is>
          <t>Métiers &amp; Artisanat</t>
        </is>
      </c>
      <c r="J665" s="18" t="n">
        <v>0</v>
      </c>
      <c r="K665" s="18" t="n">
        <v>1</v>
      </c>
      <c r="L665" s="17" t="inlineStr">
        <is>
          <t>18 183 A</t>
        </is>
      </c>
      <c r="M665" s="17" t="inlineStr">
        <is>
          <t>Mme TANG FAT VAIURA LOANA</t>
        </is>
      </c>
      <c r="N665" s="17" t="inlineStr">
        <is>
          <t>Chef d entreprise</t>
        </is>
      </c>
      <c r="O665" s="18" t="inlineStr">
        <is>
          <t>14867</t>
        </is>
      </c>
    </row>
    <row r="666" ht="20" customHeight="1">
      <c r="A666" s="13" t="inlineStr">
        <is>
          <t>PAEA-CCISM-0665</t>
        </is>
      </c>
      <c r="B666" s="13" t="inlineStr">
        <is>
          <t>740118</t>
        </is>
      </c>
      <c r="C666" s="14" t="inlineStr">
        <is>
          <t>TANG LOY FAT</t>
        </is>
      </c>
      <c r="D666" s="14" t="inlineStr">
        <is>
          <t>PAEA PK 20.900 C/MONT - VAIAPANE 98711 PAEA</t>
        </is>
      </c>
      <c r="E666" s="14" t="inlineStr">
        <is>
          <t>Patenté (Personne Physique)</t>
        </is>
      </c>
      <c r="F666" s="14" t="inlineStr">
        <is>
          <t>Patenté</t>
        </is>
      </c>
      <c r="G666" s="13" t="inlineStr">
        <is>
          <t>8130Z</t>
        </is>
      </c>
      <c r="H666" s="13" t="inlineStr">
        <is>
          <t>M</t>
        </is>
      </c>
      <c r="I666" s="14" t="inlineStr">
        <is>
          <t>Métiers &amp; Artisanat</t>
        </is>
      </c>
      <c r="J666" s="15" t="n">
        <v>0</v>
      </c>
      <c r="K666" s="15" t="n">
        <v>1</v>
      </c>
      <c r="L666" s="14" t="inlineStr">
        <is>
          <t>05 919 A</t>
        </is>
      </c>
      <c r="M666" s="14" t="inlineStr">
        <is>
          <t>M TANG LOY FAT</t>
        </is>
      </c>
      <c r="N666" s="14" t="inlineStr">
        <is>
          <t>Chef d entreprise</t>
        </is>
      </c>
      <c r="O666" s="15" t="inlineStr">
        <is>
          <t>14870</t>
        </is>
      </c>
    </row>
    <row r="667" ht="20" customHeight="1">
      <c r="A667" s="16" t="inlineStr">
        <is>
          <t>PAEA-CCISM-0666</t>
        </is>
      </c>
      <c r="B667" s="16" t="inlineStr">
        <is>
          <t>941302</t>
        </is>
      </c>
      <c r="C667" s="17" t="inlineStr">
        <is>
          <t>TANGUE DIMITRI</t>
        </is>
      </c>
      <c r="D667" s="17" t="inlineStr">
        <is>
          <t>DERR CIMETIERE APRES SALLE OMNISPOR 98711 PAEA</t>
        </is>
      </c>
      <c r="E667" s="17" t="inlineStr">
        <is>
          <t>Patenté (Personne Physique)</t>
        </is>
      </c>
      <c r="F667" s="17" t="inlineStr">
        <is>
          <t>Patenté</t>
        </is>
      </c>
      <c r="G667" s="16" t="inlineStr">
        <is>
          <t>4339Z</t>
        </is>
      </c>
      <c r="H667" s="16" t="inlineStr">
        <is>
          <t>M</t>
        </is>
      </c>
      <c r="I667" s="17" t="inlineStr">
        <is>
          <t>Métiers &amp; Artisanat</t>
        </is>
      </c>
      <c r="J667" s="18" t="n">
        <v>0</v>
      </c>
      <c r="K667" s="18" t="n">
        <v>1</v>
      </c>
      <c r="L667" s="17" t="inlineStr">
        <is>
          <t>21 810 A</t>
        </is>
      </c>
      <c r="M667" s="17" t="inlineStr">
        <is>
          <t>M TANGUE DIMITRI</t>
        </is>
      </c>
      <c r="N667" s="17" t="inlineStr">
        <is>
          <t>Chef d entreprise</t>
        </is>
      </c>
      <c r="O667" s="18" t="inlineStr">
        <is>
          <t>14875</t>
        </is>
      </c>
    </row>
    <row r="668" ht="20" customHeight="1">
      <c r="A668" s="13" t="inlineStr">
        <is>
          <t>PAEA-CCISM-0667</t>
        </is>
      </c>
      <c r="B668" s="13" t="inlineStr">
        <is>
          <t>E97665</t>
        </is>
      </c>
      <c r="C668" s="14" t="inlineStr">
        <is>
          <t>TAPU MILTON</t>
        </is>
      </c>
      <c r="D668" s="14" t="inlineStr">
        <is>
          <t>PK 27.200 C/MONT QUARTIER RICHMOND 98711 PAEA</t>
        </is>
      </c>
      <c r="E668" s="14" t="inlineStr">
        <is>
          <t>Patenté (Personne Physique)</t>
        </is>
      </c>
      <c r="F668" s="14" t="inlineStr">
        <is>
          <t>Patenté</t>
        </is>
      </c>
      <c r="G668" s="13" t="inlineStr">
        <is>
          <t>4339Z</t>
        </is>
      </c>
      <c r="H668" s="13" t="inlineStr">
        <is>
          <t>M</t>
        </is>
      </c>
      <c r="I668" s="14" t="inlineStr">
        <is>
          <t>Métiers &amp; Artisanat</t>
        </is>
      </c>
      <c r="J668" s="15" t="n">
        <v>0</v>
      </c>
      <c r="K668" s="15" t="n">
        <v>1</v>
      </c>
      <c r="L668" s="14" t="inlineStr">
        <is>
          <t>22 2782 A</t>
        </is>
      </c>
      <c r="M668" s="14" t="inlineStr">
        <is>
          <t>M TAPU MILTON</t>
        </is>
      </c>
      <c r="N668" s="14" t="inlineStr">
        <is>
          <t>Chef d entreprise</t>
        </is>
      </c>
      <c r="O668" s="15" t="inlineStr">
        <is>
          <t>14945</t>
        </is>
      </c>
    </row>
    <row r="669" ht="20" customHeight="1">
      <c r="A669" s="16" t="inlineStr">
        <is>
          <t>PAEA-CCISM-0668</t>
        </is>
      </c>
      <c r="B669" s="16" t="inlineStr">
        <is>
          <t>A68624</t>
        </is>
      </c>
      <c r="C669" s="17" t="inlineStr">
        <is>
          <t>TAPU TEVAI</t>
        </is>
      </c>
      <c r="D669" s="17" t="inlineStr">
        <is>
          <t>SERVITURE APUARI 98711 PAEA</t>
        </is>
      </c>
      <c r="E669" s="17" t="inlineStr">
        <is>
          <t>Patenté (Personne Physique)</t>
        </is>
      </c>
      <c r="F669" s="17" t="inlineStr">
        <is>
          <t>Patenté</t>
        </is>
      </c>
      <c r="G669" s="16" t="inlineStr">
        <is>
          <t>8130Z</t>
        </is>
      </c>
      <c r="H669" s="16" t="inlineStr">
        <is>
          <t>M</t>
        </is>
      </c>
      <c r="I669" s="17" t="inlineStr">
        <is>
          <t>Métiers &amp; Artisanat</t>
        </is>
      </c>
      <c r="J669" s="18" t="n">
        <v>0</v>
      </c>
      <c r="K669" s="18" t="n">
        <v>1</v>
      </c>
      <c r="L669" s="17" t="inlineStr">
        <is>
          <t>17 2326 A</t>
        </is>
      </c>
      <c r="M669" s="17" t="inlineStr">
        <is>
          <t>M TAPU TEVAI</t>
        </is>
      </c>
      <c r="N669" s="17" t="inlineStr">
        <is>
          <t>Chef d entreprise</t>
        </is>
      </c>
      <c r="O669" s="18" t="inlineStr">
        <is>
          <t>14950</t>
        </is>
      </c>
    </row>
    <row r="670" ht="20" customHeight="1">
      <c r="A670" s="13" t="inlineStr">
        <is>
          <t>PAEA-CCISM-0669</t>
        </is>
      </c>
      <c r="B670" s="13" t="inlineStr">
        <is>
          <t>B77367</t>
        </is>
      </c>
      <c r="C670" s="14" t="inlineStr">
        <is>
          <t>TAPUTUARAI RAYMOND</t>
        </is>
      </c>
      <c r="D670" s="14" t="inlineStr">
        <is>
          <t>RTE DU LOTISSEMENT TE PUHAPA LOGT 20 98711 PAEA</t>
        </is>
      </c>
      <c r="E670" s="14" t="inlineStr">
        <is>
          <t>Patenté (Personne Physique)</t>
        </is>
      </c>
      <c r="F670" s="14" t="inlineStr">
        <is>
          <t>Patenté</t>
        </is>
      </c>
      <c r="G670" s="13" t="inlineStr">
        <is>
          <t>4339Z</t>
        </is>
      </c>
      <c r="H670" s="13" t="inlineStr">
        <is>
          <t>M</t>
        </is>
      </c>
      <c r="I670" s="14" t="inlineStr">
        <is>
          <t>Métiers &amp; Artisanat</t>
        </is>
      </c>
      <c r="J670" s="15" t="n">
        <v>0</v>
      </c>
      <c r="K670" s="15" t="n">
        <v>1</v>
      </c>
      <c r="L670" s="14" t="inlineStr">
        <is>
          <t>22 528 A</t>
        </is>
      </c>
      <c r="M670" s="14" t="inlineStr">
        <is>
          <t>M TAPUTUARAI RAYMOND</t>
        </is>
      </c>
      <c r="N670" s="14" t="inlineStr">
        <is>
          <t>Chef d entreprise</t>
        </is>
      </c>
      <c r="O670" s="15" t="inlineStr">
        <is>
          <t>14976</t>
        </is>
      </c>
    </row>
    <row r="671" ht="20" customHeight="1">
      <c r="A671" s="16" t="inlineStr">
        <is>
          <t>PAEA-CCISM-0670</t>
        </is>
      </c>
      <c r="B671" s="16" t="inlineStr">
        <is>
          <t>959882</t>
        </is>
      </c>
      <c r="C671" s="17" t="inlineStr">
        <is>
          <t>TARANO GUSTAVE HEIMANA</t>
        </is>
      </c>
      <c r="D671" s="17" t="inlineStr">
        <is>
          <t>PAEA PK 27.500 C/MONT - MARAA 98711 PAEA</t>
        </is>
      </c>
      <c r="E671" s="17" t="inlineStr">
        <is>
          <t>Patenté (Personne Physique)</t>
        </is>
      </c>
      <c r="F671" s="17" t="inlineStr">
        <is>
          <t>Patenté</t>
        </is>
      </c>
      <c r="G671" s="16" t="inlineStr">
        <is>
          <t>4120B</t>
        </is>
      </c>
      <c r="H671" s="16" t="inlineStr">
        <is>
          <t>M</t>
        </is>
      </c>
      <c r="I671" s="17" t="inlineStr">
        <is>
          <t>Métiers &amp; Artisanat</t>
        </is>
      </c>
      <c r="J671" s="18" t="n">
        <v>0</v>
      </c>
      <c r="K671" s="18" t="n">
        <v>1</v>
      </c>
      <c r="L671" s="17" t="inlineStr">
        <is>
          <t>10 1550 A</t>
        </is>
      </c>
      <c r="M671" s="17" t="inlineStr">
        <is>
          <t>M TARANO GUSTAVE HEIMANA</t>
        </is>
      </c>
      <c r="N671" s="17" t="inlineStr">
        <is>
          <t>Chef d entreprise</t>
        </is>
      </c>
      <c r="O671" s="18" t="inlineStr">
        <is>
          <t>14997</t>
        </is>
      </c>
    </row>
    <row r="672" ht="20" customHeight="1">
      <c r="A672" s="13" t="inlineStr">
        <is>
          <t>PAEA-CCISM-0671</t>
        </is>
      </c>
      <c r="B672" s="13" t="inlineStr">
        <is>
          <t>117887</t>
        </is>
      </c>
      <c r="C672" s="14" t="inlineStr">
        <is>
          <t>TAU VERONA TERII</t>
        </is>
      </c>
      <c r="D672" s="14" t="inlineStr">
        <is>
          <t>98711 PAEA</t>
        </is>
      </c>
      <c r="E672" s="14" t="inlineStr">
        <is>
          <t>Patenté (Personne Physique)</t>
        </is>
      </c>
      <c r="F672" s="14" t="inlineStr">
        <is>
          <t>Patenté</t>
        </is>
      </c>
      <c r="G672" s="13" t="inlineStr">
        <is>
          <t>1623Z</t>
        </is>
      </c>
      <c r="H672" s="13" t="inlineStr">
        <is>
          <t>M</t>
        </is>
      </c>
      <c r="I672" s="14" t="inlineStr">
        <is>
          <t>Métiers &amp; Artisanat</t>
        </is>
      </c>
      <c r="J672" s="15" t="n">
        <v>0</v>
      </c>
      <c r="K672" s="15" t="n">
        <v>1</v>
      </c>
      <c r="L672" s="14" t="inlineStr">
        <is>
          <t>18 2237 A</t>
        </is>
      </c>
      <c r="M672" s="14" t="inlineStr">
        <is>
          <t>M TAU VERONA TERII</t>
        </is>
      </c>
      <c r="N672" s="14" t="inlineStr">
        <is>
          <t>Chef d entreprise</t>
        </is>
      </c>
      <c r="O672" s="15" t="inlineStr">
        <is>
          <t>15055</t>
        </is>
      </c>
    </row>
    <row r="673" ht="20" customHeight="1">
      <c r="A673" s="16" t="inlineStr">
        <is>
          <t>PAEA-CCISM-0672</t>
        </is>
      </c>
      <c r="B673" s="16" t="inlineStr">
        <is>
          <t>F51967</t>
        </is>
      </c>
      <c r="C673" s="17" t="inlineStr">
        <is>
          <t>TAUFA JULIE TAURUA</t>
        </is>
      </c>
      <c r="D673" s="17" t="inlineStr">
        <is>
          <t>QTR TETUAROA 98711 PAEA</t>
        </is>
      </c>
      <c r="E673" s="17" t="inlineStr">
        <is>
          <t>Patenté (Personne Physique)</t>
        </is>
      </c>
      <c r="F673" s="17" t="inlineStr">
        <is>
          <t>Patenté</t>
        </is>
      </c>
      <c r="G673" s="16" t="inlineStr">
        <is>
          <t>8130Z</t>
        </is>
      </c>
      <c r="H673" s="16" t="inlineStr">
        <is>
          <t>M</t>
        </is>
      </c>
      <c r="I673" s="17" t="inlineStr">
        <is>
          <t>Métiers &amp; Artisanat</t>
        </is>
      </c>
      <c r="J673" s="18" t="n">
        <v>0</v>
      </c>
      <c r="K673" s="18" t="n">
        <v>1</v>
      </c>
      <c r="L673" s="17" t="inlineStr">
        <is>
          <t>23 2560 A</t>
        </is>
      </c>
      <c r="M673" s="17" t="inlineStr">
        <is>
          <t>Mme TAUFA JULIE TAURUA</t>
        </is>
      </c>
      <c r="N673" s="17" t="inlineStr">
        <is>
          <t>Chef d entreprise</t>
        </is>
      </c>
      <c r="O673" s="18" t="inlineStr">
        <is>
          <t>15081</t>
        </is>
      </c>
    </row>
    <row r="674" ht="20" customHeight="1">
      <c r="A674" s="13" t="inlineStr">
        <is>
          <t>PAEA-CCISM-0673</t>
        </is>
      </c>
      <c r="B674" s="13" t="inlineStr">
        <is>
          <t>C84817</t>
        </is>
      </c>
      <c r="C674" s="14" t="inlineStr">
        <is>
          <t>TAUIRA TENOHO RAMONA</t>
        </is>
      </c>
      <c r="D674" s="14" t="inlineStr">
        <is>
          <t>DER ECOLE 98711 PAEA</t>
        </is>
      </c>
      <c r="E674" s="14" t="inlineStr">
        <is>
          <t>Patenté (Personne Physique)</t>
        </is>
      </c>
      <c r="F674" s="14" t="inlineStr">
        <is>
          <t>Patenté</t>
        </is>
      </c>
      <c r="G674" s="13" t="inlineStr">
        <is>
          <t>9602B</t>
        </is>
      </c>
      <c r="H674" s="13" t="inlineStr">
        <is>
          <t>M</t>
        </is>
      </c>
      <c r="I674" s="14" t="inlineStr">
        <is>
          <t>Métiers &amp; Artisanat</t>
        </is>
      </c>
      <c r="J674" s="15" t="n">
        <v>0</v>
      </c>
      <c r="K674" s="15" t="n">
        <v>1</v>
      </c>
      <c r="L674" s="14" t="inlineStr">
        <is>
          <t>18 1395 A</t>
        </is>
      </c>
      <c r="M674" s="14" t="inlineStr">
        <is>
          <t>Mme TAUIRA TENOHO RAMONA</t>
        </is>
      </c>
      <c r="N674" s="14" t="inlineStr">
        <is>
          <t>Chef d entreprise</t>
        </is>
      </c>
      <c r="O674" s="15" t="inlineStr">
        <is>
          <t>15107</t>
        </is>
      </c>
    </row>
    <row r="675" ht="20" customHeight="1">
      <c r="A675" s="16" t="inlineStr">
        <is>
          <t>PAEA-CCISM-0674</t>
        </is>
      </c>
      <c r="B675" s="16" t="inlineStr">
        <is>
          <t>G18881</t>
        </is>
      </c>
      <c r="C675" s="17" t="inlineStr">
        <is>
          <t>TAUMIHAU FILLA</t>
        </is>
      </c>
      <c r="D675" s="17" t="inlineStr">
        <is>
          <t>RTE LOTISSEMENT TEPUHAPA 98711 PAEA</t>
        </is>
      </c>
      <c r="E675" s="17" t="inlineStr">
        <is>
          <t>Patenté (Personne Physique)</t>
        </is>
      </c>
      <c r="F675" s="17" t="inlineStr">
        <is>
          <t>Patenté</t>
        </is>
      </c>
      <c r="G675" s="16" t="inlineStr">
        <is>
          <t>1629Z</t>
        </is>
      </c>
      <c r="H675" s="16" t="inlineStr">
        <is>
          <t>M</t>
        </is>
      </c>
      <c r="I675" s="17" t="inlineStr">
        <is>
          <t>Métiers &amp; Artisanat</t>
        </is>
      </c>
      <c r="J675" s="18" t="n">
        <v>0</v>
      </c>
      <c r="K675" s="18" t="n">
        <v>1</v>
      </c>
      <c r="L675" s="17" t="inlineStr">
        <is>
          <t>25 820 A</t>
        </is>
      </c>
      <c r="M675" s="17" t="inlineStr">
        <is>
          <t>Mme TAUMIHAU FILLA</t>
        </is>
      </c>
      <c r="N675" s="17" t="inlineStr">
        <is>
          <t>Chef d entreprise</t>
        </is>
      </c>
      <c r="O675" s="18" t="inlineStr">
        <is>
          <t>15118</t>
        </is>
      </c>
    </row>
    <row r="676" ht="20" customHeight="1">
      <c r="A676" s="13" t="inlineStr">
        <is>
          <t>PAEA-CCISM-0675</t>
        </is>
      </c>
      <c r="B676" s="13" t="inlineStr">
        <is>
          <t>F56362</t>
        </is>
      </c>
      <c r="C676" s="14" t="inlineStr">
        <is>
          <t>TAUMIHAU LEE-MAY, HELENE</t>
        </is>
      </c>
      <c r="D676" s="14" t="inlineStr">
        <is>
          <t>SERV TITEN 98711 PAEA</t>
        </is>
      </c>
      <c r="E676" s="14" t="inlineStr">
        <is>
          <t>Patenté (Personne Physique)</t>
        </is>
      </c>
      <c r="F676" s="14" t="inlineStr">
        <is>
          <t>Patenté</t>
        </is>
      </c>
      <c r="G676" s="13" t="inlineStr">
        <is>
          <t>9602B</t>
        </is>
      </c>
      <c r="H676" s="13" t="inlineStr">
        <is>
          <t>M</t>
        </is>
      </c>
      <c r="I676" s="14" t="inlineStr">
        <is>
          <t>Métiers &amp; Artisanat</t>
        </is>
      </c>
      <c r="J676" s="15" t="n">
        <v>0</v>
      </c>
      <c r="K676" s="15" t="n">
        <v>1</v>
      </c>
      <c r="L676" s="14" t="inlineStr">
        <is>
          <t>23 2900 A</t>
        </is>
      </c>
      <c r="M676" s="14" t="inlineStr">
        <is>
          <t>Mme TAUMIHAU LEE-MAY, HELENE</t>
        </is>
      </c>
      <c r="N676" s="14" t="inlineStr">
        <is>
          <t>Chef d entreprise</t>
        </is>
      </c>
      <c r="O676" s="15" t="inlineStr">
        <is>
          <t>15119</t>
        </is>
      </c>
    </row>
    <row r="677" ht="20" customHeight="1">
      <c r="A677" s="16" t="inlineStr">
        <is>
          <t>PAEA-CCISM-0676</t>
        </is>
      </c>
      <c r="B677" s="16" t="inlineStr">
        <is>
          <t>211862</t>
        </is>
      </c>
      <c r="C677" s="17" t="inlineStr">
        <is>
          <t>TAUOTAHA DAVID</t>
        </is>
      </c>
      <c r="D677" s="17" t="inlineStr">
        <is>
          <t>QUARTIER AHUTIA 1 - MARAA 98711 PAEA</t>
        </is>
      </c>
      <c r="E677" s="17" t="inlineStr">
        <is>
          <t>Patenté (Personne Physique)</t>
        </is>
      </c>
      <c r="F677" s="17" t="inlineStr">
        <is>
          <t>Patenté</t>
        </is>
      </c>
      <c r="G677" s="16" t="inlineStr">
        <is>
          <t>4339Z</t>
        </is>
      </c>
      <c r="H677" s="16" t="inlineStr">
        <is>
          <t>M</t>
        </is>
      </c>
      <c r="I677" s="17" t="inlineStr">
        <is>
          <t>Métiers &amp; Artisanat</t>
        </is>
      </c>
      <c r="J677" s="18" t="n">
        <v>0</v>
      </c>
      <c r="K677" s="18" t="n">
        <v>1</v>
      </c>
      <c r="L677" s="17" t="inlineStr">
        <is>
          <t>17 2004 A</t>
        </is>
      </c>
      <c r="M677" s="17" t="inlineStr">
        <is>
          <t>M TAUOTAHA DAVID</t>
        </is>
      </c>
      <c r="N677" s="17" t="inlineStr">
        <is>
          <t>Chef d entreprise</t>
        </is>
      </c>
      <c r="O677" s="18" t="inlineStr">
        <is>
          <t>15126</t>
        </is>
      </c>
    </row>
    <row r="678" ht="20" customHeight="1">
      <c r="A678" s="13" t="inlineStr">
        <is>
          <t>PAEA-CCISM-0677</t>
        </is>
      </c>
      <c r="B678" s="13" t="inlineStr">
        <is>
          <t>D07279</t>
        </is>
      </c>
      <c r="C678" s="14" t="inlineStr">
        <is>
          <t>TAUPUA JEANINE MANUELA</t>
        </is>
      </c>
      <c r="D678" s="14" t="inlineStr">
        <is>
          <t>FACE TEARAMA 98711 PAEA</t>
        </is>
      </c>
      <c r="E678" s="14" t="inlineStr">
        <is>
          <t>Patenté (Personne Physique)</t>
        </is>
      </c>
      <c r="F678" s="14" t="inlineStr">
        <is>
          <t>Patenté</t>
        </is>
      </c>
      <c r="G678" s="13" t="inlineStr">
        <is>
          <t>8690A</t>
        </is>
      </c>
      <c r="H678" s="13" t="inlineStr">
        <is>
          <t>M</t>
        </is>
      </c>
      <c r="I678" s="14" t="inlineStr">
        <is>
          <t>Métiers &amp; Artisanat</t>
        </is>
      </c>
      <c r="J678" s="15" t="n">
        <v>0</v>
      </c>
      <c r="K678" s="15" t="n">
        <v>1</v>
      </c>
      <c r="L678" s="14" t="inlineStr">
        <is>
          <t>19 68 A</t>
        </is>
      </c>
      <c r="M678" s="14" t="inlineStr">
        <is>
          <t>Mme TAUPUA JEANINE MANUELA</t>
        </is>
      </c>
      <c r="N678" s="14" t="inlineStr">
        <is>
          <t>Chef d entreprise</t>
        </is>
      </c>
      <c r="O678" s="15" t="inlineStr">
        <is>
          <t>15145</t>
        </is>
      </c>
    </row>
    <row r="679" ht="20" customHeight="1">
      <c r="A679" s="16" t="inlineStr">
        <is>
          <t>PAEA-CCISM-0678</t>
        </is>
      </c>
      <c r="B679" s="16" t="inlineStr">
        <is>
          <t>720664</t>
        </is>
      </c>
      <c r="C679" s="17" t="inlineStr">
        <is>
          <t>TAURAA LAURENT TEFA</t>
        </is>
      </c>
      <c r="D679" s="17" t="inlineStr">
        <is>
          <t>98711 PAEA</t>
        </is>
      </c>
      <c r="E679" s="17" t="inlineStr">
        <is>
          <t>Patenté (Personne Physique)</t>
        </is>
      </c>
      <c r="F679" s="17" t="inlineStr">
        <is>
          <t>Patenté</t>
        </is>
      </c>
      <c r="G679" s="16" t="inlineStr">
        <is>
          <t>4339Z</t>
        </is>
      </c>
      <c r="H679" s="16" t="inlineStr">
        <is>
          <t>M</t>
        </is>
      </c>
      <c r="I679" s="17" t="inlineStr">
        <is>
          <t>Métiers &amp; Artisanat</t>
        </is>
      </c>
      <c r="J679" s="18" t="n">
        <v>0</v>
      </c>
      <c r="K679" s="18" t="n">
        <v>1</v>
      </c>
      <c r="L679" s="17" t="inlineStr">
        <is>
          <t>18 2149 A</t>
        </is>
      </c>
      <c r="M679" s="17" t="inlineStr">
        <is>
          <t>M TAURAA LAURENT TEFA</t>
        </is>
      </c>
      <c r="N679" s="17" t="inlineStr">
        <is>
          <t>Chef d entreprise</t>
        </is>
      </c>
      <c r="O679" s="18" t="inlineStr">
        <is>
          <t>15153</t>
        </is>
      </c>
    </row>
    <row r="680" ht="20" customHeight="1">
      <c r="A680" s="13" t="inlineStr">
        <is>
          <t>PAEA-CCISM-0679</t>
        </is>
      </c>
      <c r="B680" s="13" t="inlineStr">
        <is>
          <t>490078</t>
        </is>
      </c>
      <c r="C680" s="14" t="inlineStr">
        <is>
          <t>TAUTEHOPU DANIELLE</t>
        </is>
      </c>
      <c r="D680" s="14" t="inlineStr">
        <is>
          <t>ROUTE MARAE ARAHURAHU 98711 PAEA</t>
        </is>
      </c>
      <c r="E680" s="14" t="inlineStr">
        <is>
          <t>Patenté (Personne Physique)</t>
        </is>
      </c>
      <c r="F680" s="14" t="inlineStr">
        <is>
          <t>Patenté</t>
        </is>
      </c>
      <c r="G680" s="13" t="inlineStr">
        <is>
          <t>4932Z</t>
        </is>
      </c>
      <c r="H680" s="13" t="inlineStr">
        <is>
          <t>M</t>
        </is>
      </c>
      <c r="I680" s="14" t="inlineStr">
        <is>
          <t>Métiers &amp; Artisanat</t>
        </is>
      </c>
      <c r="J680" s="15" t="n">
        <v>0</v>
      </c>
      <c r="K680" s="15" t="n">
        <v>1</v>
      </c>
      <c r="L680" s="14" t="inlineStr">
        <is>
          <t>14 481 A</t>
        </is>
      </c>
      <c r="M680" s="14" t="inlineStr">
        <is>
          <t>Mme TAUTEHOPU DANIELLE</t>
        </is>
      </c>
      <c r="N680" s="14" t="inlineStr">
        <is>
          <t>Chef d entreprise</t>
        </is>
      </c>
      <c r="O680" s="15" t="inlineStr">
        <is>
          <t>15183</t>
        </is>
      </c>
    </row>
    <row r="681" ht="20" customHeight="1">
      <c r="A681" s="16" t="inlineStr">
        <is>
          <t>PAEA-CCISM-0680</t>
        </is>
      </c>
      <c r="B681" s="16" t="inlineStr">
        <is>
          <t>G00095</t>
        </is>
      </c>
      <c r="C681" s="17" t="inlineStr">
        <is>
          <t>TAUTIA NEE TAINOA SIMONE</t>
        </is>
      </c>
      <c r="D681" s="17" t="inlineStr">
        <is>
          <t>VALLEE DE OROFERO SERVITUDE ONOA N°3 98711 PAEA</t>
        </is>
      </c>
      <c r="E681" s="17" t="inlineStr">
        <is>
          <t>Patenté (Personne Physique)</t>
        </is>
      </c>
      <c r="F681" s="17" t="inlineStr">
        <is>
          <t>Patenté</t>
        </is>
      </c>
      <c r="G681" s="16" t="inlineStr">
        <is>
          <t>8121Z</t>
        </is>
      </c>
      <c r="H681" s="16" t="inlineStr">
        <is>
          <t>M</t>
        </is>
      </c>
      <c r="I681" s="17" t="inlineStr">
        <is>
          <t>Métiers &amp; Artisanat</t>
        </is>
      </c>
      <c r="J681" s="18" t="n">
        <v>0</v>
      </c>
      <c r="K681" s="18" t="n">
        <v>1</v>
      </c>
      <c r="L681" s="17" t="inlineStr">
        <is>
          <t>24 2266 A</t>
        </is>
      </c>
      <c r="M681" s="17" t="inlineStr">
        <is>
          <t>Mme TAUTIA (Née TAINOA) SIMONE</t>
        </is>
      </c>
      <c r="N681" s="17" t="inlineStr">
        <is>
          <t>Chef d entreprise</t>
        </is>
      </c>
      <c r="O681" s="18" t="inlineStr">
        <is>
          <t>15185</t>
        </is>
      </c>
    </row>
    <row r="682" ht="20" customHeight="1">
      <c r="A682" s="13" t="inlineStr">
        <is>
          <t>PAEA-CCISM-0681</t>
        </is>
      </c>
      <c r="B682" s="13" t="inlineStr">
        <is>
          <t>E92054</t>
        </is>
      </c>
      <c r="C682" s="14" t="inlineStr">
        <is>
          <t>TAVAEARII MAXIME</t>
        </is>
      </c>
      <c r="D682" s="14" t="inlineStr">
        <is>
          <t>SERVITUDE PAAHA 98711 PAEA</t>
        </is>
      </c>
      <c r="E682" s="14" t="inlineStr">
        <is>
          <t>Patenté (Personne Physique)</t>
        </is>
      </c>
      <c r="F682" s="14" t="inlineStr">
        <is>
          <t>Patenté</t>
        </is>
      </c>
      <c r="G682" s="13" t="inlineStr">
        <is>
          <t>3312Z</t>
        </is>
      </c>
      <c r="H682" s="13" t="inlineStr">
        <is>
          <t>M</t>
        </is>
      </c>
      <c r="I682" s="14" t="inlineStr">
        <is>
          <t>Métiers &amp; Artisanat</t>
        </is>
      </c>
      <c r="J682" s="15" t="n">
        <v>0</v>
      </c>
      <c r="K682" s="15" t="n">
        <v>1</v>
      </c>
      <c r="L682" s="14" t="inlineStr">
        <is>
          <t>22 2279 A</t>
        </is>
      </c>
      <c r="M682" s="14" t="inlineStr">
        <is>
          <t>Mme TAVAEARII MAXIME</t>
        </is>
      </c>
      <c r="N682" s="14" t="inlineStr">
        <is>
          <t>Chef d entreprise</t>
        </is>
      </c>
      <c r="O682" s="15" t="inlineStr">
        <is>
          <t>15214</t>
        </is>
      </c>
    </row>
    <row r="683" ht="20" customHeight="1">
      <c r="A683" s="16" t="inlineStr">
        <is>
          <t>PAEA-CCISM-0682</t>
        </is>
      </c>
      <c r="B683" s="16" t="inlineStr">
        <is>
          <t>F17752</t>
        </is>
      </c>
      <c r="C683" s="17" t="inlineStr">
        <is>
          <t>TAVITA MOERAI</t>
        </is>
      </c>
      <c r="D683" s="17" t="inlineStr">
        <is>
          <t>RTE DU LOTISSEMENT VAITIARE 1 98711 PAEA</t>
        </is>
      </c>
      <c r="E683" s="17" t="inlineStr">
        <is>
          <t>Patenté (Personne Physique)</t>
        </is>
      </c>
      <c r="F683" s="17" t="inlineStr">
        <is>
          <t>Patenté</t>
        </is>
      </c>
      <c r="G683" s="16" t="inlineStr">
        <is>
          <t>8690A</t>
        </is>
      </c>
      <c r="H683" s="16" t="inlineStr">
        <is>
          <t>M</t>
        </is>
      </c>
      <c r="I683" s="17" t="inlineStr">
        <is>
          <t>Métiers &amp; Artisanat</t>
        </is>
      </c>
      <c r="J683" s="18" t="n">
        <v>0</v>
      </c>
      <c r="K683" s="18" t="n">
        <v>1</v>
      </c>
      <c r="L683" s="17" t="inlineStr">
        <is>
          <t>23 421 A</t>
        </is>
      </c>
      <c r="M683" s="17" t="inlineStr">
        <is>
          <t>M TAVITA MOERAI</t>
        </is>
      </c>
      <c r="N683" s="17" t="inlineStr">
        <is>
          <t>Chef d entreprise</t>
        </is>
      </c>
      <c r="O683" s="18" t="inlineStr">
        <is>
          <t>15241</t>
        </is>
      </c>
    </row>
    <row r="684" ht="20" customHeight="1">
      <c r="A684" s="13" t="inlineStr">
        <is>
          <t>PAEA-CCISM-0683</t>
        </is>
      </c>
      <c r="B684" s="13" t="inlineStr">
        <is>
          <t>869792</t>
        </is>
      </c>
      <c r="C684" s="14" t="inlineStr">
        <is>
          <t>TEAHAMAI REHIARII</t>
        </is>
      </c>
      <c r="D684" s="14" t="inlineStr">
        <is>
          <t>VALLEE OROFERO SERVITUDE TEHINA MAUE 98711 PAEA</t>
        </is>
      </c>
      <c r="E684" s="14" t="inlineStr">
        <is>
          <t>Patenté (Personne Physique)</t>
        </is>
      </c>
      <c r="F684" s="14" t="inlineStr">
        <is>
          <t>Patenté</t>
        </is>
      </c>
      <c r="G684" s="13" t="inlineStr">
        <is>
          <t>4520A</t>
        </is>
      </c>
      <c r="H684" s="13" t="inlineStr">
        <is>
          <t>M</t>
        </is>
      </c>
      <c r="I684" s="14" t="inlineStr">
        <is>
          <t>Métiers &amp; Artisanat</t>
        </is>
      </c>
      <c r="J684" s="15" t="n">
        <v>0</v>
      </c>
      <c r="K684" s="15" t="n">
        <v>1</v>
      </c>
      <c r="L684" s="14" t="inlineStr">
        <is>
          <t>21 431 A</t>
        </is>
      </c>
      <c r="M684" s="14" t="inlineStr">
        <is>
          <t>M TEAHAMAI REHIARII</t>
        </is>
      </c>
      <c r="N684" s="14" t="inlineStr">
        <is>
          <t>Chef d entreprise</t>
        </is>
      </c>
      <c r="O684" s="15" t="inlineStr">
        <is>
          <t>15305</t>
        </is>
      </c>
    </row>
    <row r="685" ht="20" customHeight="1">
      <c r="A685" s="16" t="inlineStr">
        <is>
          <t>PAEA-CCISM-0684</t>
        </is>
      </c>
      <c r="B685" s="16" t="inlineStr">
        <is>
          <t>A79605</t>
        </is>
      </c>
      <c r="C685" s="17" t="inlineStr">
        <is>
          <t>TEARIKI JOHN</t>
        </is>
      </c>
      <c r="D685" s="17" t="inlineStr">
        <is>
          <t>SERVITUDE ROOMA 98711 PAEA</t>
        </is>
      </c>
      <c r="E685" s="17" t="inlineStr">
        <is>
          <t>Patenté (Personne Physique)</t>
        </is>
      </c>
      <c r="F685" s="17" t="inlineStr">
        <is>
          <t>Patenté</t>
        </is>
      </c>
      <c r="G685" s="16" t="inlineStr">
        <is>
          <t>4520A</t>
        </is>
      </c>
      <c r="H685" s="16" t="inlineStr">
        <is>
          <t>M</t>
        </is>
      </c>
      <c r="I685" s="17" t="inlineStr">
        <is>
          <t>Métiers &amp; Artisanat</t>
        </is>
      </c>
      <c r="J685" s="18" t="n">
        <v>0</v>
      </c>
      <c r="K685" s="18" t="n">
        <v>1</v>
      </c>
      <c r="L685" s="17" t="inlineStr">
        <is>
          <t>23 2424 A</t>
        </is>
      </c>
      <c r="M685" s="17" t="inlineStr">
        <is>
          <t>M TEARIKI JOHN</t>
        </is>
      </c>
      <c r="N685" s="17" t="inlineStr">
        <is>
          <t>Chef d entreprise</t>
        </is>
      </c>
      <c r="O685" s="18" t="inlineStr">
        <is>
          <t>15379</t>
        </is>
      </c>
    </row>
    <row r="686" ht="20" customHeight="1">
      <c r="A686" s="13" t="inlineStr">
        <is>
          <t>PAEA-CCISM-0685</t>
        </is>
      </c>
      <c r="B686" s="13" t="inlineStr">
        <is>
          <t>G04469</t>
        </is>
      </c>
      <c r="C686" s="14" t="inlineStr">
        <is>
          <t>TEATOTO EMILE</t>
        </is>
      </c>
      <c r="D686" s="14" t="inlineStr">
        <is>
          <t>SERV TAPUTUARAI 98711 PAEA</t>
        </is>
      </c>
      <c r="E686" s="14" t="inlineStr">
        <is>
          <t>Patenté (Personne Physique)</t>
        </is>
      </c>
      <c r="F686" s="14" t="inlineStr">
        <is>
          <t>Patenté</t>
        </is>
      </c>
      <c r="G686" s="13" t="inlineStr">
        <is>
          <t>4520A</t>
        </is>
      </c>
      <c r="H686" s="13" t="inlineStr">
        <is>
          <t>M</t>
        </is>
      </c>
      <c r="I686" s="14" t="inlineStr">
        <is>
          <t>Métiers &amp; Artisanat</t>
        </is>
      </c>
      <c r="J686" s="15" t="n">
        <v>0</v>
      </c>
      <c r="K686" s="15" t="n">
        <v>1</v>
      </c>
      <c r="L686" s="14" t="inlineStr">
        <is>
          <t>25 29 A</t>
        </is>
      </c>
      <c r="M686" s="14" t="inlineStr">
        <is>
          <t>M TEATOTO EMILE</t>
        </is>
      </c>
      <c r="N686" s="14" t="inlineStr">
        <is>
          <t>Chef d entreprise</t>
        </is>
      </c>
      <c r="O686" s="15" t="inlineStr">
        <is>
          <t>15409</t>
        </is>
      </c>
    </row>
    <row r="687" ht="20" customHeight="1">
      <c r="A687" s="16" t="inlineStr">
        <is>
          <t>PAEA-CCISM-0686</t>
        </is>
      </c>
      <c r="B687" s="16" t="inlineStr">
        <is>
          <t>B34566</t>
        </is>
      </c>
      <c r="C687" s="17" t="inlineStr">
        <is>
          <t>TEAVE MARCELIN</t>
        </is>
      </c>
      <c r="D687" s="17" t="inlineStr">
        <is>
          <t>SERV MAHUATUA 98711 PAEA</t>
        </is>
      </c>
      <c r="E687" s="17" t="inlineStr">
        <is>
          <t>Patenté (Personne Physique)</t>
        </is>
      </c>
      <c r="F687" s="17" t="inlineStr">
        <is>
          <t>Patenté</t>
        </is>
      </c>
      <c r="G687" s="16" t="inlineStr">
        <is>
          <t>4932Z</t>
        </is>
      </c>
      <c r="H687" s="16" t="inlineStr">
        <is>
          <t>M</t>
        </is>
      </c>
      <c r="I687" s="17" t="inlineStr">
        <is>
          <t>Métiers &amp; Artisanat</t>
        </is>
      </c>
      <c r="J687" s="18" t="n">
        <v>0</v>
      </c>
      <c r="K687" s="18" t="n">
        <v>1</v>
      </c>
      <c r="L687" s="17" t="inlineStr">
        <is>
          <t>15 17 A</t>
        </is>
      </c>
      <c r="M687" s="17" t="inlineStr">
        <is>
          <t>M TEAVE MARCELIN</t>
        </is>
      </c>
      <c r="N687" s="17" t="inlineStr">
        <is>
          <t>Chef d entreprise</t>
        </is>
      </c>
      <c r="O687" s="18" t="inlineStr">
        <is>
          <t>15428</t>
        </is>
      </c>
    </row>
    <row r="688" ht="20" customHeight="1">
      <c r="A688" s="13" t="inlineStr">
        <is>
          <t>PAEA-CCISM-0687</t>
        </is>
      </c>
      <c r="B688" s="13" t="inlineStr">
        <is>
          <t>E91908</t>
        </is>
      </c>
      <c r="C688" s="14" t="inlineStr">
        <is>
          <t>TEFANA AHUTERAI</t>
        </is>
      </c>
      <c r="D688" s="14" t="inlineStr">
        <is>
          <t>QTR TEFANA 98711 PAEA</t>
        </is>
      </c>
      <c r="E688" s="14" t="inlineStr">
        <is>
          <t>Patenté (Personne Physique)</t>
        </is>
      </c>
      <c r="F688" s="14" t="inlineStr">
        <is>
          <t>Patenté</t>
        </is>
      </c>
      <c r="G688" s="13" t="inlineStr">
        <is>
          <t>3320D</t>
        </is>
      </c>
      <c r="H688" s="13" t="inlineStr">
        <is>
          <t>M</t>
        </is>
      </c>
      <c r="I688" s="14" t="inlineStr">
        <is>
          <t>Métiers &amp; Artisanat</t>
        </is>
      </c>
      <c r="J688" s="15" t="n">
        <v>0</v>
      </c>
      <c r="K688" s="15" t="n">
        <v>1</v>
      </c>
      <c r="L688" s="14" t="inlineStr">
        <is>
          <t>22 2212 A</t>
        </is>
      </c>
      <c r="M688" s="14" t="inlineStr">
        <is>
          <t>M TEFANA AHUTERAI</t>
        </is>
      </c>
      <c r="N688" s="14" t="inlineStr">
        <is>
          <t>Chef d entreprise</t>
        </is>
      </c>
      <c r="O688" s="15" t="inlineStr">
        <is>
          <t>15473</t>
        </is>
      </c>
    </row>
    <row r="689" ht="20" customHeight="1">
      <c r="A689" s="16" t="inlineStr">
        <is>
          <t>PAEA-CCISM-0688</t>
        </is>
      </c>
      <c r="B689" s="16" t="inlineStr">
        <is>
          <t>E74698</t>
        </is>
      </c>
      <c r="C689" s="17" t="inlineStr">
        <is>
          <t>TEFANA FRANCK, TOROMONA</t>
        </is>
      </c>
      <c r="D689" s="17" t="inlineStr">
        <is>
          <t>98711 PAEA</t>
        </is>
      </c>
      <c r="E689" s="17" t="inlineStr">
        <is>
          <t>Patenté (Personne Physique)</t>
        </is>
      </c>
      <c r="F689" s="17" t="inlineStr">
        <is>
          <t>Patenté</t>
        </is>
      </c>
      <c r="G689" s="16" t="inlineStr">
        <is>
          <t>4339Z</t>
        </is>
      </c>
      <c r="H689" s="16" t="inlineStr">
        <is>
          <t>M</t>
        </is>
      </c>
      <c r="I689" s="17" t="inlineStr">
        <is>
          <t>Métiers &amp; Artisanat</t>
        </is>
      </c>
      <c r="J689" s="18" t="n">
        <v>0</v>
      </c>
      <c r="K689" s="18" t="n">
        <v>1</v>
      </c>
      <c r="L689" s="17" t="inlineStr">
        <is>
          <t>22 1005 A</t>
        </is>
      </c>
      <c r="M689" s="17" t="inlineStr">
        <is>
          <t>M TEFANA FRANCK, TOROMONA</t>
        </is>
      </c>
      <c r="N689" s="17" t="inlineStr">
        <is>
          <t>Chef d entreprise</t>
        </is>
      </c>
      <c r="O689" s="18" t="inlineStr">
        <is>
          <t>15474</t>
        </is>
      </c>
    </row>
    <row r="690" ht="20" customHeight="1">
      <c r="A690" s="13" t="inlineStr">
        <is>
          <t>PAEA-CCISM-0689</t>
        </is>
      </c>
      <c r="B690" s="13" t="inlineStr">
        <is>
          <t>C46600</t>
        </is>
      </c>
      <c r="C690" s="14" t="inlineStr">
        <is>
          <t>TEFANA HIROHITI</t>
        </is>
      </c>
      <c r="D690" s="14" t="inlineStr">
        <is>
          <t>98711 PAEA</t>
        </is>
      </c>
      <c r="E690" s="14" t="inlineStr">
        <is>
          <t>Patenté (Personne Physique)</t>
        </is>
      </c>
      <c r="F690" s="14" t="inlineStr">
        <is>
          <t>Patenté</t>
        </is>
      </c>
      <c r="G690" s="13" t="inlineStr">
        <is>
          <t>8130Z</t>
        </is>
      </c>
      <c r="H690" s="13" t="inlineStr">
        <is>
          <t>M</t>
        </is>
      </c>
      <c r="I690" s="14" t="inlineStr">
        <is>
          <t>Métiers &amp; Artisanat</t>
        </is>
      </c>
      <c r="J690" s="15" t="n">
        <v>0</v>
      </c>
      <c r="K690" s="15" t="n">
        <v>1</v>
      </c>
      <c r="L690" s="14" t="inlineStr">
        <is>
          <t>25 899 A</t>
        </is>
      </c>
      <c r="M690" s="14" t="inlineStr">
        <is>
          <t>M TEFANA HIROHITI</t>
        </is>
      </c>
      <c r="N690" s="14" t="inlineStr">
        <is>
          <t>Chef d entreprise</t>
        </is>
      </c>
      <c r="O690" s="15" t="inlineStr">
        <is>
          <t>15475</t>
        </is>
      </c>
    </row>
    <row r="691" ht="20" customHeight="1">
      <c r="A691" s="16" t="inlineStr">
        <is>
          <t>PAEA-CCISM-0690</t>
        </is>
      </c>
      <c r="B691" s="16" t="inlineStr">
        <is>
          <t>D96280</t>
        </is>
      </c>
      <c r="C691" s="17" t="inlineStr">
        <is>
          <t>TEFANA KEVIN TINIHAU</t>
        </is>
      </c>
      <c r="D691" s="17" t="inlineStr">
        <is>
          <t>QUARTIER TEFANA 98711 PAEA</t>
        </is>
      </c>
      <c r="E691" s="17" t="inlineStr">
        <is>
          <t>Patenté (Personne Physique)</t>
        </is>
      </c>
      <c r="F691" s="17" t="inlineStr">
        <is>
          <t>Patenté</t>
        </is>
      </c>
      <c r="G691" s="16" t="inlineStr">
        <is>
          <t>4339Z</t>
        </is>
      </c>
      <c r="H691" s="16" t="inlineStr">
        <is>
          <t>M</t>
        </is>
      </c>
      <c r="I691" s="17" t="inlineStr">
        <is>
          <t>Métiers &amp; Artisanat</t>
        </is>
      </c>
      <c r="J691" s="18" t="n">
        <v>0</v>
      </c>
      <c r="K691" s="18" t="n">
        <v>1</v>
      </c>
      <c r="L691" s="17" t="inlineStr">
        <is>
          <t>20 2469 A</t>
        </is>
      </c>
      <c r="M691" s="17" t="inlineStr">
        <is>
          <t>M TEFANA KEVIN TINIHAU</t>
        </is>
      </c>
      <c r="N691" s="17" t="inlineStr">
        <is>
          <t>Chef d entreprise</t>
        </is>
      </c>
      <c r="O691" s="18" t="inlineStr">
        <is>
          <t>15476</t>
        </is>
      </c>
    </row>
    <row r="692" ht="20" customHeight="1">
      <c r="A692" s="13" t="inlineStr">
        <is>
          <t>PAEA-CCISM-0691</t>
        </is>
      </c>
      <c r="B692" s="13" t="inlineStr">
        <is>
          <t>F77939</t>
        </is>
      </c>
      <c r="C692" s="14" t="inlineStr">
        <is>
          <t>TEGARIPA MYRON</t>
        </is>
      </c>
      <c r="D692" s="14" t="inlineStr">
        <is>
          <t>SERV FROGIER 98711 PAEA</t>
        </is>
      </c>
      <c r="E692" s="14" t="inlineStr">
        <is>
          <t>Patenté (Personne Physique)</t>
        </is>
      </c>
      <c r="F692" s="14" t="inlineStr">
        <is>
          <t>Patenté</t>
        </is>
      </c>
      <c r="G692" s="13" t="inlineStr">
        <is>
          <t>8130Z</t>
        </is>
      </c>
      <c r="H692" s="13" t="inlineStr">
        <is>
          <t>M</t>
        </is>
      </c>
      <c r="I692" s="14" t="inlineStr">
        <is>
          <t>Métiers &amp; Artisanat</t>
        </is>
      </c>
      <c r="J692" s="15" t="n">
        <v>0</v>
      </c>
      <c r="K692" s="15" t="n">
        <v>1</v>
      </c>
      <c r="L692" s="14" t="inlineStr">
        <is>
          <t>24 784 A</t>
        </is>
      </c>
      <c r="M692" s="14" t="inlineStr">
        <is>
          <t>M TEGARIPA MYRON</t>
        </is>
      </c>
      <c r="N692" s="14" t="inlineStr">
        <is>
          <t>Chef d entreprise</t>
        </is>
      </c>
      <c r="O692" s="15" t="inlineStr">
        <is>
          <t>15489</t>
        </is>
      </c>
    </row>
    <row r="693" ht="20" customHeight="1">
      <c r="A693" s="16" t="inlineStr">
        <is>
          <t>PAEA-CCISM-0692</t>
        </is>
      </c>
      <c r="B693" s="16" t="inlineStr">
        <is>
          <t>C90855</t>
        </is>
      </c>
      <c r="C693" s="17" t="inlineStr">
        <is>
          <t>TEHAAVI HEIMANA, EMILE</t>
        </is>
      </c>
      <c r="D693" s="17" t="inlineStr">
        <is>
          <t>10 RTE LOTISSEMENT CHAPMAN 98711 PAEA</t>
        </is>
      </c>
      <c r="E693" s="17" t="inlineStr">
        <is>
          <t>Patenté (Personne Physique)</t>
        </is>
      </c>
      <c r="F693" s="17" t="inlineStr">
        <is>
          <t>Patenté</t>
        </is>
      </c>
      <c r="G693" s="16" t="inlineStr">
        <is>
          <t>4321A</t>
        </is>
      </c>
      <c r="H693" s="16" t="inlineStr">
        <is>
          <t>M</t>
        </is>
      </c>
      <c r="I693" s="17" t="inlineStr">
        <is>
          <t>Métiers &amp; Artisanat</t>
        </is>
      </c>
      <c r="J693" s="18" t="n">
        <v>0</v>
      </c>
      <c r="K693" s="18" t="n">
        <v>1</v>
      </c>
      <c r="L693" s="17" t="inlineStr">
        <is>
          <t>18 1785 A</t>
        </is>
      </c>
      <c r="M693" s="17" t="inlineStr">
        <is>
          <t>M TEHAAVI HEIMANA, EMILE</t>
        </is>
      </c>
      <c r="N693" s="17" t="inlineStr">
        <is>
          <t>Chef d entreprise</t>
        </is>
      </c>
      <c r="O693" s="18" t="inlineStr">
        <is>
          <t>15507</t>
        </is>
      </c>
    </row>
    <row r="694" ht="20" customHeight="1">
      <c r="A694" s="13" t="inlineStr">
        <is>
          <t>PAEA-CCISM-0693</t>
        </is>
      </c>
      <c r="B694" s="13" t="inlineStr">
        <is>
          <t>B04155</t>
        </is>
      </c>
      <c r="C694" s="14" t="inlineStr">
        <is>
          <t>TEHAHE ENOHA TAEAE</t>
        </is>
      </c>
      <c r="D694" s="14" t="inlineStr">
        <is>
          <t>LOTISS MANAVA LOT N°9 98711 PAEA</t>
        </is>
      </c>
      <c r="E694" s="14" t="inlineStr">
        <is>
          <t>Patenté (Personne Physique)</t>
        </is>
      </c>
      <c r="F694" s="14" t="inlineStr">
        <is>
          <t>Patenté</t>
        </is>
      </c>
      <c r="G694" s="13" t="inlineStr">
        <is>
          <t>3299Z</t>
        </is>
      </c>
      <c r="H694" s="13" t="inlineStr">
        <is>
          <t>M</t>
        </is>
      </c>
      <c r="I694" s="14" t="inlineStr">
        <is>
          <t>Métiers &amp; Artisanat</t>
        </is>
      </c>
      <c r="J694" s="15" t="n">
        <v>0</v>
      </c>
      <c r="K694" s="15" t="n">
        <v>1</v>
      </c>
      <c r="L694" s="14" t="inlineStr">
        <is>
          <t>14 606 A</t>
        </is>
      </c>
      <c r="M694" s="14" t="inlineStr">
        <is>
          <t>M TEHAHE ENOHA TAEAE</t>
        </is>
      </c>
      <c r="N694" s="14" t="inlineStr">
        <is>
          <t>Chef d entreprise</t>
        </is>
      </c>
      <c r="O694" s="15" t="inlineStr">
        <is>
          <t>15509</t>
        </is>
      </c>
    </row>
    <row r="695" ht="20" customHeight="1">
      <c r="A695" s="16" t="inlineStr">
        <is>
          <t>PAEA-CCISM-0694</t>
        </is>
      </c>
      <c r="B695" s="16" t="inlineStr">
        <is>
          <t>B60587</t>
        </is>
      </c>
      <c r="C695" s="17" t="inlineStr">
        <is>
          <t>TEHEI KARIHI ELLIS</t>
        </is>
      </c>
      <c r="D695" s="17" t="inlineStr">
        <is>
          <t>98711 PAEA</t>
        </is>
      </c>
      <c r="E695" s="17" t="inlineStr">
        <is>
          <t>Patenté (Personne Physique)</t>
        </is>
      </c>
      <c r="F695" s="17" t="inlineStr">
        <is>
          <t>Patenté</t>
        </is>
      </c>
      <c r="G695" s="16" t="inlineStr">
        <is>
          <t>4339Z</t>
        </is>
      </c>
      <c r="H695" s="16" t="inlineStr">
        <is>
          <t>M</t>
        </is>
      </c>
      <c r="I695" s="17" t="inlineStr">
        <is>
          <t>Métiers &amp; Artisanat</t>
        </is>
      </c>
      <c r="J695" s="18" t="n">
        <v>0</v>
      </c>
      <c r="K695" s="18" t="n">
        <v>1</v>
      </c>
      <c r="L695" s="17" t="inlineStr">
        <is>
          <t>20 1019 A</t>
        </is>
      </c>
      <c r="M695" s="17" t="inlineStr">
        <is>
          <t>M TEHEI KARIHI ELLIS</t>
        </is>
      </c>
      <c r="N695" s="17" t="inlineStr">
        <is>
          <t>Chef d entreprise</t>
        </is>
      </c>
      <c r="O695" s="18" t="inlineStr">
        <is>
          <t>15549</t>
        </is>
      </c>
    </row>
    <row r="696" ht="20" customHeight="1">
      <c r="A696" s="13" t="inlineStr">
        <is>
          <t>PAEA-CCISM-0695</t>
        </is>
      </c>
      <c r="B696" s="13" t="inlineStr">
        <is>
          <t>849489</t>
        </is>
      </c>
      <c r="C696" s="14" t="inlineStr">
        <is>
          <t>TEHEI NEE VAITA MATARENA</t>
        </is>
      </c>
      <c r="D696" s="14" t="inlineStr">
        <is>
          <t>98711 PAEA</t>
        </is>
      </c>
      <c r="E696" s="14" t="inlineStr">
        <is>
          <t>Patenté (Personne Physique)</t>
        </is>
      </c>
      <c r="F696" s="14" t="inlineStr">
        <is>
          <t>Patenté</t>
        </is>
      </c>
      <c r="G696" s="13" t="inlineStr">
        <is>
          <t>9602B</t>
        </is>
      </c>
      <c r="H696" s="13" t="inlineStr">
        <is>
          <t>M</t>
        </is>
      </c>
      <c r="I696" s="14" t="inlineStr">
        <is>
          <t>Métiers &amp; Artisanat</t>
        </is>
      </c>
      <c r="J696" s="15" t="n">
        <v>0</v>
      </c>
      <c r="K696" s="15" t="n">
        <v>1</v>
      </c>
      <c r="L696" s="14" t="inlineStr">
        <is>
          <t>17 488 A</t>
        </is>
      </c>
      <c r="M696" s="14" t="inlineStr">
        <is>
          <t>Mme TEHEI (Née VAITA) MATARENA</t>
        </is>
      </c>
      <c r="N696" s="14" t="inlineStr">
        <is>
          <t>Chef d entreprise</t>
        </is>
      </c>
      <c r="O696" s="15" t="inlineStr">
        <is>
          <t>15553</t>
        </is>
      </c>
    </row>
    <row r="697" ht="20" customHeight="1">
      <c r="A697" s="16" t="inlineStr">
        <is>
          <t>PAEA-CCISM-0696</t>
        </is>
      </c>
      <c r="B697" s="16" t="inlineStr">
        <is>
          <t>E50920</t>
        </is>
      </c>
      <c r="C697" s="17" t="inlineStr">
        <is>
          <t>TEHEIPUARII MOEA</t>
        </is>
      </c>
      <c r="D697" s="17" t="inlineStr">
        <is>
          <t>301 RESIDENCE LES JARDINS DE PAEA RTE TIAPA LOT N° 98711 PAEA</t>
        </is>
      </c>
      <c r="E697" s="17" t="inlineStr">
        <is>
          <t>Patenté (Personne Physique)</t>
        </is>
      </c>
      <c r="F697" s="17" t="inlineStr">
        <is>
          <t>Patenté</t>
        </is>
      </c>
      <c r="G697" s="16" t="inlineStr">
        <is>
          <t>4339Z</t>
        </is>
      </c>
      <c r="H697" s="16" t="inlineStr">
        <is>
          <t>M</t>
        </is>
      </c>
      <c r="I697" s="17" t="inlineStr">
        <is>
          <t>Métiers &amp; Artisanat</t>
        </is>
      </c>
      <c r="J697" s="18" t="n">
        <v>0</v>
      </c>
      <c r="K697" s="18" t="n">
        <v>1</v>
      </c>
      <c r="L697" s="17" t="inlineStr">
        <is>
          <t>21 3052 A</t>
        </is>
      </c>
      <c r="M697" s="17" t="inlineStr">
        <is>
          <t>Mme TEHEIPUARII MOEA</t>
        </is>
      </c>
      <c r="N697" s="17" t="inlineStr">
        <is>
          <t>Chef d entreprise</t>
        </is>
      </c>
      <c r="O697" s="18" t="inlineStr">
        <is>
          <t>15558</t>
        </is>
      </c>
    </row>
    <row r="698" ht="20" customHeight="1">
      <c r="A698" s="13" t="inlineStr">
        <is>
          <t>PAEA-CCISM-0697</t>
        </is>
      </c>
      <c r="B698" s="13" t="inlineStr">
        <is>
          <t>D27483</t>
        </is>
      </c>
      <c r="C698" s="14" t="inlineStr">
        <is>
          <t>TEHEIPUARII YVES</t>
        </is>
      </c>
      <c r="D698" s="14" t="inlineStr">
        <is>
          <t>98711 PAEA</t>
        </is>
      </c>
      <c r="E698" s="14" t="inlineStr">
        <is>
          <t>Patenté (Personne Physique)</t>
        </is>
      </c>
      <c r="F698" s="14" t="inlineStr">
        <is>
          <t>Patenté</t>
        </is>
      </c>
      <c r="G698" s="13" t="inlineStr">
        <is>
          <t>4321A</t>
        </is>
      </c>
      <c r="H698" s="13" t="inlineStr">
        <is>
          <t>M</t>
        </is>
      </c>
      <c r="I698" s="14" t="inlineStr">
        <is>
          <t>Métiers &amp; Artisanat</t>
        </is>
      </c>
      <c r="J698" s="15" t="n">
        <v>0</v>
      </c>
      <c r="K698" s="15" t="n">
        <v>1</v>
      </c>
      <c r="L698" s="14" t="inlineStr">
        <is>
          <t>19 1349 A</t>
        </is>
      </c>
      <c r="M698" s="14" t="inlineStr">
        <is>
          <t>M TEHEIPUARII YVES</t>
        </is>
      </c>
      <c r="N698" s="14" t="inlineStr">
        <is>
          <t>Chef d entreprise</t>
        </is>
      </c>
      <c r="O698" s="15" t="inlineStr">
        <is>
          <t>15559</t>
        </is>
      </c>
    </row>
    <row r="699" ht="20" customHeight="1">
      <c r="A699" s="16" t="inlineStr">
        <is>
          <t>PAEA-CCISM-0698</t>
        </is>
      </c>
      <c r="B699" s="16" t="inlineStr">
        <is>
          <t>C71897</t>
        </is>
      </c>
      <c r="C699" s="17" t="inlineStr">
        <is>
          <t>TEHEIURA BRYAN TAMATOA</t>
        </is>
      </c>
      <c r="D699" s="17" t="inlineStr">
        <is>
          <t>98711 PAEA</t>
        </is>
      </c>
      <c r="E699" s="17" t="inlineStr">
        <is>
          <t>Patenté (Personne Physique)</t>
        </is>
      </c>
      <c r="F699" s="17" t="inlineStr">
        <is>
          <t>Patenté</t>
        </is>
      </c>
      <c r="G699" s="16" t="inlineStr">
        <is>
          <t>4339Z</t>
        </is>
      </c>
      <c r="H699" s="16" t="inlineStr">
        <is>
          <t>M</t>
        </is>
      </c>
      <c r="I699" s="17" t="inlineStr">
        <is>
          <t>Métiers &amp; Artisanat</t>
        </is>
      </c>
      <c r="J699" s="18" t="n">
        <v>0</v>
      </c>
      <c r="K699" s="18" t="n">
        <v>1</v>
      </c>
      <c r="L699" s="17" t="inlineStr">
        <is>
          <t>18 575 A</t>
        </is>
      </c>
      <c r="M699" s="17" t="inlineStr">
        <is>
          <t>M TEHEIURA BRYAN TAMATOA</t>
        </is>
      </c>
      <c r="N699" s="17" t="inlineStr">
        <is>
          <t>Chef d entreprise</t>
        </is>
      </c>
      <c r="O699" s="18" t="inlineStr">
        <is>
          <t>15560</t>
        </is>
      </c>
    </row>
    <row r="700" ht="20" customHeight="1">
      <c r="A700" s="13" t="inlineStr">
        <is>
          <t>PAEA-CCISM-0699</t>
        </is>
      </c>
      <c r="B700" s="13" t="inlineStr">
        <is>
          <t>B78274</t>
        </is>
      </c>
      <c r="C700" s="14" t="inlineStr">
        <is>
          <t>TEHEIURA CESAR</t>
        </is>
      </c>
      <c r="D700" s="14" t="inlineStr">
        <is>
          <t>SERVITUDE CADOUSTEAU HOIORE 98711 PAEA</t>
        </is>
      </c>
      <c r="E700" s="14" t="inlineStr">
        <is>
          <t>Patenté (Personne Physique)</t>
        </is>
      </c>
      <c r="F700" s="14" t="inlineStr">
        <is>
          <t>Patenté</t>
        </is>
      </c>
      <c r="G700" s="13" t="inlineStr">
        <is>
          <t>4339Z</t>
        </is>
      </c>
      <c r="H700" s="13" t="inlineStr">
        <is>
          <t>M</t>
        </is>
      </c>
      <c r="I700" s="14" t="inlineStr">
        <is>
          <t>Métiers &amp; Artisanat</t>
        </is>
      </c>
      <c r="J700" s="15" t="n">
        <v>0</v>
      </c>
      <c r="K700" s="15" t="n">
        <v>1</v>
      </c>
      <c r="L700" s="14" t="inlineStr">
        <is>
          <t>16 137 A</t>
        </is>
      </c>
      <c r="M700" s="14" t="inlineStr">
        <is>
          <t>M TEHEIURA CESAR</t>
        </is>
      </c>
      <c r="N700" s="14" t="inlineStr">
        <is>
          <t>Chef d entreprise</t>
        </is>
      </c>
      <c r="O700" s="15" t="inlineStr">
        <is>
          <t>15561</t>
        </is>
      </c>
    </row>
    <row r="701" ht="20" customHeight="1">
      <c r="A701" s="16" t="inlineStr">
        <is>
          <t>PAEA-CCISM-0700</t>
        </is>
      </c>
      <c r="B701" s="16" t="inlineStr">
        <is>
          <t>457655</t>
        </is>
      </c>
      <c r="C701" s="17" t="inlineStr">
        <is>
          <t>TEHEIURA EDWIN</t>
        </is>
      </c>
      <c r="D701" s="17" t="inlineStr">
        <is>
          <t>98711 PAEA</t>
        </is>
      </c>
      <c r="E701" s="17" t="inlineStr">
        <is>
          <t>Patenté (Personne Physique)</t>
        </is>
      </c>
      <c r="F701" s="17" t="inlineStr">
        <is>
          <t>Patenté</t>
        </is>
      </c>
      <c r="G701" s="16" t="inlineStr">
        <is>
          <t>4321A</t>
        </is>
      </c>
      <c r="H701" s="16" t="inlineStr">
        <is>
          <t>M</t>
        </is>
      </c>
      <c r="I701" s="17" t="inlineStr">
        <is>
          <t>Métiers &amp; Artisanat</t>
        </is>
      </c>
      <c r="J701" s="18" t="n">
        <v>0</v>
      </c>
      <c r="K701" s="18" t="n">
        <v>1</v>
      </c>
      <c r="L701" s="17" t="inlineStr">
        <is>
          <t>20 1878 A</t>
        </is>
      </c>
      <c r="M701" s="17" t="inlineStr">
        <is>
          <t>M TEHEIURA EDWIN</t>
        </is>
      </c>
      <c r="N701" s="17" t="inlineStr">
        <is>
          <t>Chef d entreprise</t>
        </is>
      </c>
      <c r="O701" s="18" t="inlineStr">
        <is>
          <t>15563</t>
        </is>
      </c>
    </row>
    <row r="702" ht="20" customHeight="1">
      <c r="A702" s="13" t="inlineStr">
        <is>
          <t>PAEA-CCISM-0701</t>
        </is>
      </c>
      <c r="B702" s="13" t="inlineStr">
        <is>
          <t>E84317</t>
        </is>
      </c>
      <c r="C702" s="14" t="inlineStr">
        <is>
          <t>TEHEIURA MEARAU AZURE</t>
        </is>
      </c>
      <c r="D702" s="14" t="inlineStr">
        <is>
          <t>CTRE ET QUARTIER TIAPA 98711 PAEA</t>
        </is>
      </c>
      <c r="E702" s="14" t="inlineStr">
        <is>
          <t>Patenté (Personne Physique)</t>
        </is>
      </c>
      <c r="F702" s="14" t="inlineStr">
        <is>
          <t>Patenté</t>
        </is>
      </c>
      <c r="G702" s="13" t="inlineStr">
        <is>
          <t>9602B</t>
        </is>
      </c>
      <c r="H702" s="13" t="inlineStr">
        <is>
          <t>M</t>
        </is>
      </c>
      <c r="I702" s="14" t="inlineStr">
        <is>
          <t>Métiers &amp; Artisanat</t>
        </is>
      </c>
      <c r="J702" s="15" t="n">
        <v>0</v>
      </c>
      <c r="K702" s="15" t="n">
        <v>1</v>
      </c>
      <c r="L702" s="14" t="inlineStr">
        <is>
          <t>22 1653 A</t>
        </is>
      </c>
      <c r="M702" s="14" t="inlineStr">
        <is>
          <t>Mme TEHEIURA MEARAU AZURE</t>
        </is>
      </c>
      <c r="N702" s="14" t="inlineStr">
        <is>
          <t>Chef d entreprise</t>
        </is>
      </c>
      <c r="O702" s="15" t="inlineStr">
        <is>
          <t>15574</t>
        </is>
      </c>
    </row>
    <row r="703" ht="20" customHeight="1">
      <c r="A703" s="16" t="inlineStr">
        <is>
          <t>PAEA-CCISM-0702</t>
        </is>
      </c>
      <c r="B703" s="16" t="inlineStr">
        <is>
          <t>E14165</t>
        </is>
      </c>
      <c r="C703" s="17" t="inlineStr">
        <is>
          <t>TEHIKIHINUHATU RENE</t>
        </is>
      </c>
      <c r="D703" s="17" t="inlineStr">
        <is>
          <t>VALLEE OROFERO 98711 PAEA</t>
        </is>
      </c>
      <c r="E703" s="17" t="inlineStr">
        <is>
          <t>Patenté (Personne Physique)</t>
        </is>
      </c>
      <c r="F703" s="17" t="inlineStr">
        <is>
          <t>Patenté</t>
        </is>
      </c>
      <c r="G703" s="16" t="inlineStr">
        <is>
          <t>4339Z</t>
        </is>
      </c>
      <c r="H703" s="16" t="inlineStr">
        <is>
          <t>M</t>
        </is>
      </c>
      <c r="I703" s="17" t="inlineStr">
        <is>
          <t>Métiers &amp; Artisanat</t>
        </is>
      </c>
      <c r="J703" s="18" t="n">
        <v>0</v>
      </c>
      <c r="K703" s="18" t="n">
        <v>1</v>
      </c>
      <c r="L703" s="17" t="inlineStr">
        <is>
          <t>21 592 A</t>
        </is>
      </c>
      <c r="M703" s="17" t="inlineStr">
        <is>
          <t>M TEHIKIHINUHATU RENE</t>
        </is>
      </c>
      <c r="N703" s="17" t="inlineStr">
        <is>
          <t>Chef d entreprise</t>
        </is>
      </c>
      <c r="O703" s="18" t="inlineStr">
        <is>
          <t>15605</t>
        </is>
      </c>
    </row>
    <row r="704" ht="20" customHeight="1">
      <c r="A704" s="13" t="inlineStr">
        <is>
          <t>PAEA-CCISM-0703</t>
        </is>
      </c>
      <c r="B704" s="13" t="inlineStr">
        <is>
          <t>223537</t>
        </is>
      </c>
      <c r="C704" s="14" t="inlineStr">
        <is>
          <t>TEHINA NEE TOOFA TEREVA, GRACIA</t>
        </is>
      </c>
      <c r="D704" s="14" t="inlineStr">
        <is>
          <t>PAEA PK21.100 C/MONT - VAIERII 98711 PAEA</t>
        </is>
      </c>
      <c r="E704" s="14" t="inlineStr">
        <is>
          <t>Patenté (Personne Physique)</t>
        </is>
      </c>
      <c r="F704" s="14" t="inlineStr">
        <is>
          <t>Patenté</t>
        </is>
      </c>
      <c r="G704" s="13" t="inlineStr">
        <is>
          <t>8121Z</t>
        </is>
      </c>
      <c r="H704" s="13" t="inlineStr">
        <is>
          <t>M</t>
        </is>
      </c>
      <c r="I704" s="14" t="inlineStr">
        <is>
          <t>Métiers &amp; Artisanat</t>
        </is>
      </c>
      <c r="J704" s="15" t="n">
        <v>0</v>
      </c>
      <c r="K704" s="15" t="n">
        <v>1</v>
      </c>
      <c r="L704" s="14" t="inlineStr">
        <is>
          <t>12 2283 A</t>
        </is>
      </c>
      <c r="M704" s="14" t="inlineStr">
        <is>
          <t>Mme TEHINA (Née TOOFA) TEREVA, GRACIA</t>
        </is>
      </c>
      <c r="N704" s="14" t="inlineStr">
        <is>
          <t>Chef d entreprise</t>
        </is>
      </c>
      <c r="O704" s="15" t="inlineStr">
        <is>
          <t>15612</t>
        </is>
      </c>
    </row>
    <row r="705" ht="20" customHeight="1">
      <c r="A705" s="16" t="inlineStr">
        <is>
          <t>PAEA-CCISM-0704</t>
        </is>
      </c>
      <c r="B705" s="16" t="inlineStr">
        <is>
          <t>B90634</t>
        </is>
      </c>
      <c r="C705" s="17" t="inlineStr">
        <is>
          <t>TEHIVA ANDREW MATAHI</t>
        </is>
      </c>
      <c r="D705" s="17" t="inlineStr">
        <is>
          <t>RTE DU LOTISSEMENT PAPEHUE LOT 9 98711 PAEA</t>
        </is>
      </c>
      <c r="E705" s="17" t="inlineStr">
        <is>
          <t>Patenté (Personne Physique)</t>
        </is>
      </c>
      <c r="F705" s="17" t="inlineStr">
        <is>
          <t>Patenté</t>
        </is>
      </c>
      <c r="G705" s="16" t="inlineStr">
        <is>
          <t>4291Z</t>
        </is>
      </c>
      <c r="H705" s="16" t="inlineStr">
        <is>
          <t>M</t>
        </is>
      </c>
      <c r="I705" s="17" t="inlineStr">
        <is>
          <t>Métiers &amp; Artisanat</t>
        </is>
      </c>
      <c r="J705" s="18" t="n">
        <v>0</v>
      </c>
      <c r="K705" s="18" t="n">
        <v>1</v>
      </c>
      <c r="L705" s="17" t="inlineStr">
        <is>
          <t>16 929 A</t>
        </is>
      </c>
      <c r="M705" s="17" t="inlineStr">
        <is>
          <t>M TEHIVA ANDREW MATAHI</t>
        </is>
      </c>
      <c r="N705" s="17" t="inlineStr">
        <is>
          <t>Chef d entreprise</t>
        </is>
      </c>
      <c r="O705" s="18" t="inlineStr">
        <is>
          <t>15623</t>
        </is>
      </c>
    </row>
    <row r="706" ht="20" customHeight="1">
      <c r="A706" s="13" t="inlineStr">
        <is>
          <t>PAEA-CCISM-0705</t>
        </is>
      </c>
      <c r="B706" s="13" t="inlineStr">
        <is>
          <t>B50976</t>
        </is>
      </c>
      <c r="C706" s="14" t="inlineStr">
        <is>
          <t>TEHIVA ARMAND HEIMOANA</t>
        </is>
      </c>
      <c r="D706" s="14" t="inlineStr">
        <is>
          <t>QUA TAPUTUARAI 98711 PAEA</t>
        </is>
      </c>
      <c r="E706" s="14" t="inlineStr">
        <is>
          <t>Patenté (Personne Physique)</t>
        </is>
      </c>
      <c r="F706" s="14" t="inlineStr">
        <is>
          <t>Patenté</t>
        </is>
      </c>
      <c r="G706" s="13" t="inlineStr">
        <is>
          <t>8121Z</t>
        </is>
      </c>
      <c r="H706" s="13" t="inlineStr">
        <is>
          <t>M</t>
        </is>
      </c>
      <c r="I706" s="14" t="inlineStr">
        <is>
          <t>Métiers &amp; Artisanat</t>
        </is>
      </c>
      <c r="J706" s="15" t="n">
        <v>0</v>
      </c>
      <c r="K706" s="15" t="n">
        <v>1</v>
      </c>
      <c r="L706" s="14" t="inlineStr">
        <is>
          <t>23 2875 A</t>
        </is>
      </c>
      <c r="M706" s="14" t="inlineStr">
        <is>
          <t>M TEHIVA ARMAND HEIMOANA</t>
        </is>
      </c>
      <c r="N706" s="14" t="inlineStr">
        <is>
          <t>Chef d entreprise</t>
        </is>
      </c>
      <c r="O706" s="15" t="inlineStr">
        <is>
          <t>15624</t>
        </is>
      </c>
    </row>
    <row r="707" ht="20" customHeight="1">
      <c r="A707" s="16" t="inlineStr">
        <is>
          <t>PAEA-CCISM-0706</t>
        </is>
      </c>
      <c r="B707" s="16" t="inlineStr">
        <is>
          <t>F56040</t>
        </is>
      </c>
      <c r="C707" s="17" t="inlineStr">
        <is>
          <t>TEHOIRI JULIETTE</t>
        </is>
      </c>
      <c r="D707" s="17" t="inlineStr">
        <is>
          <t>PROPRIETE CADOUSTEAU PARC AC-348 98711 PAEA</t>
        </is>
      </c>
      <c r="E707" s="17" t="inlineStr">
        <is>
          <t>Patenté (Personne Physique)</t>
        </is>
      </c>
      <c r="F707" s="17" t="inlineStr">
        <is>
          <t>Patenté</t>
        </is>
      </c>
      <c r="G707" s="16" t="inlineStr">
        <is>
          <t>3299Z</t>
        </is>
      </c>
      <c r="H707" s="16" t="inlineStr">
        <is>
          <t>M</t>
        </is>
      </c>
      <c r="I707" s="17" t="inlineStr">
        <is>
          <t>Métiers &amp; Artisanat</t>
        </is>
      </c>
      <c r="J707" s="18" t="n">
        <v>0</v>
      </c>
      <c r="K707" s="18" t="n">
        <v>1</v>
      </c>
      <c r="L707" s="17" t="inlineStr">
        <is>
          <t>23 2866 A</t>
        </is>
      </c>
      <c r="M707" s="17" t="inlineStr">
        <is>
          <t>Mme TEHOIRI JULIETTE</t>
        </is>
      </c>
      <c r="N707" s="17" t="inlineStr">
        <is>
          <t>Chef d entreprise</t>
        </is>
      </c>
      <c r="O707" s="18" t="inlineStr">
        <is>
          <t>15631</t>
        </is>
      </c>
    </row>
    <row r="708" ht="20" customHeight="1">
      <c r="A708" s="13" t="inlineStr">
        <is>
          <t>PAEA-CCISM-0707</t>
        </is>
      </c>
      <c r="B708" s="13" t="inlineStr">
        <is>
          <t>A73525</t>
        </is>
      </c>
      <c r="C708" s="14" t="inlineStr">
        <is>
          <t>TEHOIRI LEWIS</t>
        </is>
      </c>
      <c r="D708" s="14" t="inlineStr">
        <is>
          <t>LOTISS TE PUHAPA LOT N°44 98711 PAEA</t>
        </is>
      </c>
      <c r="E708" s="14" t="inlineStr">
        <is>
          <t>Patenté (Personne Physique)</t>
        </is>
      </c>
      <c r="F708" s="14" t="inlineStr">
        <is>
          <t>Patenté</t>
        </is>
      </c>
      <c r="G708" s="13" t="inlineStr">
        <is>
          <t>4339Z</t>
        </is>
      </c>
      <c r="H708" s="13" t="inlineStr">
        <is>
          <t>M</t>
        </is>
      </c>
      <c r="I708" s="14" t="inlineStr">
        <is>
          <t>Métiers &amp; Artisanat</t>
        </is>
      </c>
      <c r="J708" s="15" t="n">
        <v>0</v>
      </c>
      <c r="K708" s="15" t="n">
        <v>1</v>
      </c>
      <c r="L708" s="14" t="inlineStr">
        <is>
          <t>13 1210 A</t>
        </is>
      </c>
      <c r="M708" s="14" t="inlineStr">
        <is>
          <t>M TEHOIRI LEWIS</t>
        </is>
      </c>
      <c r="N708" s="14" t="inlineStr">
        <is>
          <t>Chef d entreprise</t>
        </is>
      </c>
      <c r="O708" s="15" t="inlineStr">
        <is>
          <t>15632</t>
        </is>
      </c>
    </row>
    <row r="709" ht="20" customHeight="1">
      <c r="A709" s="16" t="inlineStr">
        <is>
          <t>PAEA-CCISM-0708</t>
        </is>
      </c>
      <c r="B709" s="16" t="inlineStr">
        <is>
          <t>928945</t>
        </is>
      </c>
      <c r="C709" s="17" t="inlineStr">
        <is>
          <t>TEIHOARII FAANUI CLAUDE</t>
        </is>
      </c>
      <c r="D709" s="17" t="inlineStr">
        <is>
          <t>PAEA PK 20.600 C/MONT - LOTISS. CPS N° 98711 PAEA</t>
        </is>
      </c>
      <c r="E709" s="17" t="inlineStr">
        <is>
          <t>Patenté (Personne Physique)</t>
        </is>
      </c>
      <c r="F709" s="17" t="inlineStr">
        <is>
          <t>Patenté</t>
        </is>
      </c>
      <c r="G709" s="16" t="inlineStr">
        <is>
          <t>4322B</t>
        </is>
      </c>
      <c r="H709" s="16" t="inlineStr">
        <is>
          <t>M</t>
        </is>
      </c>
      <c r="I709" s="17" t="inlineStr">
        <is>
          <t>Métiers &amp; Artisanat</t>
        </is>
      </c>
      <c r="J709" s="18" t="n">
        <v>0</v>
      </c>
      <c r="K709" s="18" t="n">
        <v>1</v>
      </c>
      <c r="L709" s="17" t="inlineStr">
        <is>
          <t>09 2020 A</t>
        </is>
      </c>
      <c r="M709" s="17" t="inlineStr">
        <is>
          <t>M TEIHOARII FAANUI CLAUDE</t>
        </is>
      </c>
      <c r="N709" s="17" t="inlineStr">
        <is>
          <t>Chef d entreprise</t>
        </is>
      </c>
      <c r="O709" s="18" t="inlineStr">
        <is>
          <t>15692</t>
        </is>
      </c>
    </row>
    <row r="710" ht="20" customHeight="1">
      <c r="A710" s="13" t="inlineStr">
        <is>
          <t>PAEA-CCISM-0709</t>
        </is>
      </c>
      <c r="B710" s="13" t="inlineStr">
        <is>
          <t>F20731</t>
        </is>
      </c>
      <c r="C710" s="14" t="inlineStr">
        <is>
          <t>TEIHOTUA FIRMIN NATUA</t>
        </is>
      </c>
      <c r="D710" s="14" t="inlineStr">
        <is>
          <t>LOT 10 VAIPUARII 98711 PAEA</t>
        </is>
      </c>
      <c r="E710" s="14" t="inlineStr">
        <is>
          <t>Patenté (Personne Physique)</t>
        </is>
      </c>
      <c r="F710" s="14" t="inlineStr">
        <is>
          <t>Patenté</t>
        </is>
      </c>
      <c r="G710" s="13" t="inlineStr">
        <is>
          <t>4339Z</t>
        </is>
      </c>
      <c r="H710" s="13" t="inlineStr">
        <is>
          <t>M</t>
        </is>
      </c>
      <c r="I710" s="14" t="inlineStr">
        <is>
          <t>Métiers &amp; Artisanat</t>
        </is>
      </c>
      <c r="J710" s="15" t="n">
        <v>0</v>
      </c>
      <c r="K710" s="15" t="n">
        <v>1</v>
      </c>
      <c r="L710" s="14" t="inlineStr">
        <is>
          <t>23 601 A</t>
        </is>
      </c>
      <c r="M710" s="14" t="inlineStr">
        <is>
          <t>M TEIHOTUA FIRMIN NATUA</t>
        </is>
      </c>
      <c r="N710" s="14" t="inlineStr">
        <is>
          <t>Chef d entreprise</t>
        </is>
      </c>
      <c r="O710" s="15" t="inlineStr">
        <is>
          <t>15736</t>
        </is>
      </c>
    </row>
    <row r="711" ht="20" customHeight="1">
      <c r="A711" s="16" t="inlineStr">
        <is>
          <t>PAEA-CCISM-0710</t>
        </is>
      </c>
      <c r="B711" s="16" t="inlineStr">
        <is>
          <t>379404</t>
        </is>
      </c>
      <c r="C711" s="17" t="inlineStr">
        <is>
          <t>TEIKITUTOUA LOTALIE MIRIAMA ROITI</t>
        </is>
      </c>
      <c r="D711" s="17" t="inlineStr">
        <is>
          <t>PAEA PK 23.500 C/MONT - CHAPMAN 98711 PAEA</t>
        </is>
      </c>
      <c r="E711" s="17" t="inlineStr">
        <is>
          <t>Patenté (Personne Physique)</t>
        </is>
      </c>
      <c r="F711" s="17" t="inlineStr">
        <is>
          <t>Patenté</t>
        </is>
      </c>
      <c r="G711" s="16" t="inlineStr">
        <is>
          <t>9602A</t>
        </is>
      </c>
      <c r="H711" s="16" t="inlineStr">
        <is>
          <t>M</t>
        </is>
      </c>
      <c r="I711" s="17" t="inlineStr">
        <is>
          <t>Métiers &amp; Artisanat</t>
        </is>
      </c>
      <c r="J711" s="18" t="n">
        <v>0</v>
      </c>
      <c r="K711" s="18" t="n">
        <v>1</v>
      </c>
      <c r="L711" s="17" t="inlineStr">
        <is>
          <t>11 1966 A</t>
        </is>
      </c>
      <c r="M711" s="17" t="inlineStr">
        <is>
          <t>Mme TEIKITUTOUA LOTALIE</t>
        </is>
      </c>
      <c r="N711" s="17" t="inlineStr">
        <is>
          <t>Chef d entreprise</t>
        </is>
      </c>
      <c r="O711" s="18" t="inlineStr">
        <is>
          <t>15784</t>
        </is>
      </c>
    </row>
    <row r="712" ht="20" customHeight="1">
      <c r="A712" s="13" t="inlineStr">
        <is>
          <t>PAEA-CCISM-0711</t>
        </is>
      </c>
      <c r="B712" s="13" t="inlineStr">
        <is>
          <t>497974</t>
        </is>
      </c>
      <c r="C712" s="14" t="inlineStr">
        <is>
          <t>TEINAURI ROCKY TAMATAAROA</t>
        </is>
      </c>
      <c r="D712" s="14" t="inlineStr">
        <is>
          <t>PAEA PK 20.800 C/MONT - VAIAPANE I 98711 PAEA</t>
        </is>
      </c>
      <c r="E712" s="14" t="inlineStr">
        <is>
          <t>Patenté (Personne Physique)</t>
        </is>
      </c>
      <c r="F712" s="14" t="inlineStr">
        <is>
          <t>Patenté</t>
        </is>
      </c>
      <c r="G712" s="13" t="inlineStr">
        <is>
          <t>1071D</t>
        </is>
      </c>
      <c r="H712" s="13" t="inlineStr">
        <is>
          <t>M</t>
        </is>
      </c>
      <c r="I712" s="14" t="inlineStr">
        <is>
          <t>Métiers &amp; Artisanat</t>
        </is>
      </c>
      <c r="J712" s="15" t="n">
        <v>0</v>
      </c>
      <c r="K712" s="15" t="n">
        <v>1</v>
      </c>
      <c r="L712" s="14" t="inlineStr">
        <is>
          <t>34378 A</t>
        </is>
      </c>
      <c r="M712" s="14" t="inlineStr">
        <is>
          <t>M TEINAURI ROCKY TAMATAAROA</t>
        </is>
      </c>
      <c r="N712" s="14" t="inlineStr">
        <is>
          <t>Chef d entreprise</t>
        </is>
      </c>
      <c r="O712" s="15" t="inlineStr">
        <is>
          <t>15812</t>
        </is>
      </c>
    </row>
    <row r="713" ht="20" customHeight="1">
      <c r="A713" s="16" t="inlineStr">
        <is>
          <t>PAEA-CCISM-0712</t>
        </is>
      </c>
      <c r="B713" s="16" t="inlineStr">
        <is>
          <t>829234</t>
        </is>
      </c>
      <c r="C713" s="17" t="inlineStr">
        <is>
          <t>TEIPOARII PHILIPPE TETUAVEREROA</t>
        </is>
      </c>
      <c r="D713" s="17" t="inlineStr">
        <is>
          <t>PAEA PK 19.800 C/MONT - SERV.CADOUSTEA 98711 PAEA</t>
        </is>
      </c>
      <c r="E713" s="17" t="inlineStr">
        <is>
          <t>Patenté (Personne Physique)</t>
        </is>
      </c>
      <c r="F713" s="17" t="inlineStr">
        <is>
          <t>Patenté</t>
        </is>
      </c>
      <c r="G713" s="16" t="inlineStr">
        <is>
          <t>4322A</t>
        </is>
      </c>
      <c r="H713" s="16" t="inlineStr">
        <is>
          <t>M</t>
        </is>
      </c>
      <c r="I713" s="17" t="inlineStr">
        <is>
          <t>Métiers &amp; Artisanat</t>
        </is>
      </c>
      <c r="J713" s="18" t="n">
        <v>0</v>
      </c>
      <c r="K713" s="18" t="n">
        <v>1</v>
      </c>
      <c r="L713" s="17" t="inlineStr">
        <is>
          <t>07 1116 A</t>
        </is>
      </c>
      <c r="M713" s="17" t="inlineStr">
        <is>
          <t>M TEIPOARII PHILIPPE TETUAVEREROA</t>
        </is>
      </c>
      <c r="N713" s="17" t="inlineStr">
        <is>
          <t>Chef d entreprise</t>
        </is>
      </c>
      <c r="O713" s="18" t="inlineStr">
        <is>
          <t>15824</t>
        </is>
      </c>
    </row>
    <row r="714" ht="20" customHeight="1">
      <c r="A714" s="13" t="inlineStr">
        <is>
          <t>PAEA-CCISM-0713</t>
        </is>
      </c>
      <c r="B714" s="13" t="inlineStr">
        <is>
          <t>F93118</t>
        </is>
      </c>
      <c r="C714" s="14" t="inlineStr">
        <is>
          <t>TEIPOARII STEPHANIE ERENA</t>
        </is>
      </c>
      <c r="D714" s="14" t="inlineStr">
        <is>
          <t>98711 PAEA</t>
        </is>
      </c>
      <c r="E714" s="14" t="inlineStr">
        <is>
          <t>Patenté (Personne Physique)</t>
        </is>
      </c>
      <c r="F714" s="14" t="inlineStr">
        <is>
          <t>Patenté</t>
        </is>
      </c>
      <c r="G714" s="13" t="inlineStr">
        <is>
          <t>3299Z</t>
        </is>
      </c>
      <c r="H714" s="13" t="inlineStr">
        <is>
          <t>M</t>
        </is>
      </c>
      <c r="I714" s="14" t="inlineStr">
        <is>
          <t>Métiers &amp; Artisanat</t>
        </is>
      </c>
      <c r="J714" s="15" t="n">
        <v>0</v>
      </c>
      <c r="K714" s="15" t="n">
        <v>1</v>
      </c>
      <c r="L714" s="14" t="inlineStr">
        <is>
          <t>24 1786 A</t>
        </is>
      </c>
      <c r="M714" s="14" t="inlineStr">
        <is>
          <t>Mme TEIPOARII STEPHANIE ERENA</t>
        </is>
      </c>
      <c r="N714" s="14" t="inlineStr">
        <is>
          <t>Chef d entreprise</t>
        </is>
      </c>
      <c r="O714" s="15" t="inlineStr">
        <is>
          <t>15827</t>
        </is>
      </c>
    </row>
    <row r="715" ht="20" customHeight="1">
      <c r="A715" s="16" t="inlineStr">
        <is>
          <t>PAEA-CCISM-0714</t>
        </is>
      </c>
      <c r="B715" s="16" t="inlineStr">
        <is>
          <t>721787</t>
        </is>
      </c>
      <c r="C715" s="17" t="inlineStr">
        <is>
          <t>TEIRI GERRY</t>
        </is>
      </c>
      <c r="D715" s="17" t="inlineStr">
        <is>
          <t>PAEA PK 24.500 C/MONT 98711 PAEA</t>
        </is>
      </c>
      <c r="E715" s="17" t="inlineStr">
        <is>
          <t>Patenté (Personne Physique)</t>
        </is>
      </c>
      <c r="F715" s="17" t="inlineStr">
        <is>
          <t>Patenté</t>
        </is>
      </c>
      <c r="G715" s="16" t="inlineStr">
        <is>
          <t>4321A</t>
        </is>
      </c>
      <c r="H715" s="16" t="inlineStr">
        <is>
          <t>M</t>
        </is>
      </c>
      <c r="I715" s="17" t="inlineStr">
        <is>
          <t>Métiers &amp; Artisanat</t>
        </is>
      </c>
      <c r="J715" s="18" t="n">
        <v>0</v>
      </c>
      <c r="K715" s="18" t="n">
        <v>1</v>
      </c>
      <c r="L715" s="17" t="inlineStr">
        <is>
          <t>04 838 A</t>
        </is>
      </c>
      <c r="M715" s="17" t="inlineStr">
        <is>
          <t>M TEIRI GERRY</t>
        </is>
      </c>
      <c r="N715" s="17" t="inlineStr">
        <is>
          <t>Chef d entreprise</t>
        </is>
      </c>
      <c r="O715" s="18" t="inlineStr">
        <is>
          <t>15834</t>
        </is>
      </c>
    </row>
    <row r="716" ht="20" customHeight="1">
      <c r="A716" s="13" t="inlineStr">
        <is>
          <t>PAEA-CCISM-0715</t>
        </is>
      </c>
      <c r="B716" s="13" t="inlineStr">
        <is>
          <t>D85754</t>
        </is>
      </c>
      <c r="C716" s="14" t="inlineStr">
        <is>
          <t>TEMAHUKI TARA</t>
        </is>
      </c>
      <c r="D716" s="14" t="inlineStr">
        <is>
          <t>LOTISSEMENT TEAHUPARU LOT 38 98711 PAEA</t>
        </is>
      </c>
      <c r="E716" s="14" t="inlineStr">
        <is>
          <t>Patenté (Personne Physique)</t>
        </is>
      </c>
      <c r="F716" s="14" t="inlineStr">
        <is>
          <t>Patenté</t>
        </is>
      </c>
      <c r="G716" s="13" t="inlineStr">
        <is>
          <t>4312B</t>
        </is>
      </c>
      <c r="H716" s="13" t="inlineStr">
        <is>
          <t>M</t>
        </is>
      </c>
      <c r="I716" s="14" t="inlineStr">
        <is>
          <t>Métiers &amp; Artisanat</t>
        </is>
      </c>
      <c r="J716" s="15" t="n">
        <v>0</v>
      </c>
      <c r="K716" s="15" t="n">
        <v>1</v>
      </c>
      <c r="L716" s="14" t="inlineStr">
        <is>
          <t>20 1742 A</t>
        </is>
      </c>
      <c r="M716" s="14" t="inlineStr">
        <is>
          <t>M TEMAHUKI TARA</t>
        </is>
      </c>
      <c r="N716" s="14" t="inlineStr">
        <is>
          <t>Chef d entreprise</t>
        </is>
      </c>
      <c r="O716" s="15" t="inlineStr">
        <is>
          <t>15898</t>
        </is>
      </c>
    </row>
    <row r="717" ht="20" customHeight="1">
      <c r="A717" s="16" t="inlineStr">
        <is>
          <t>PAEA-CCISM-0716</t>
        </is>
      </c>
      <c r="B717" s="16" t="inlineStr">
        <is>
          <t>F54896</t>
        </is>
      </c>
      <c r="C717" s="17" t="inlineStr">
        <is>
          <t>TEMAHUKI VEROTEA</t>
        </is>
      </c>
      <c r="D717" s="17" t="inlineStr">
        <is>
          <t>VALLEE OROFERO SERVITUDE RAITAI N° 5 98711 PAEA</t>
        </is>
      </c>
      <c r="E717" s="17" t="inlineStr">
        <is>
          <t>Patenté (Personne Physique)</t>
        </is>
      </c>
      <c r="F717" s="17" t="inlineStr">
        <is>
          <t>Patenté</t>
        </is>
      </c>
      <c r="G717" s="16" t="inlineStr">
        <is>
          <t>8121Z</t>
        </is>
      </c>
      <c r="H717" s="16" t="inlineStr">
        <is>
          <t>M</t>
        </is>
      </c>
      <c r="I717" s="17" t="inlineStr">
        <is>
          <t>Métiers &amp; Artisanat</t>
        </is>
      </c>
      <c r="J717" s="18" t="n">
        <v>0</v>
      </c>
      <c r="K717" s="18" t="n">
        <v>1</v>
      </c>
      <c r="L717" s="17" t="inlineStr">
        <is>
          <t>23 2546 A</t>
        </is>
      </c>
      <c r="M717" s="17" t="inlineStr">
        <is>
          <t>Mme TEMAHUKI VEROTEA</t>
        </is>
      </c>
      <c r="N717" s="17" t="inlineStr">
        <is>
          <t>Chef d entreprise</t>
        </is>
      </c>
      <c r="O717" s="18" t="inlineStr">
        <is>
          <t>15899</t>
        </is>
      </c>
    </row>
    <row r="718" ht="20" customHeight="1">
      <c r="A718" s="13" t="inlineStr">
        <is>
          <t>PAEA-CCISM-0717</t>
        </is>
      </c>
      <c r="B718" s="13" t="inlineStr">
        <is>
          <t>760330</t>
        </is>
      </c>
      <c r="C718" s="14" t="inlineStr">
        <is>
          <t>TEMAIANA TERAIMATEATA</t>
        </is>
      </c>
      <c r="D718" s="14" t="inlineStr">
        <is>
          <t>98711 PAEA</t>
        </is>
      </c>
      <c r="E718" s="14" t="inlineStr">
        <is>
          <t>Patenté (Personne Physique)</t>
        </is>
      </c>
      <c r="F718" s="14" t="inlineStr">
        <is>
          <t>Patenté</t>
        </is>
      </c>
      <c r="G718" s="13" t="inlineStr">
        <is>
          <t>8130Z</t>
        </is>
      </c>
      <c r="H718" s="13" t="inlineStr">
        <is>
          <t>M</t>
        </is>
      </c>
      <c r="I718" s="14" t="inlineStr">
        <is>
          <t>Métiers &amp; Artisanat</t>
        </is>
      </c>
      <c r="J718" s="15" t="n">
        <v>0</v>
      </c>
      <c r="K718" s="15" t="n">
        <v>1</v>
      </c>
      <c r="L718" s="14" t="inlineStr">
        <is>
          <t>07 565 A</t>
        </is>
      </c>
      <c r="M718" s="14" t="inlineStr">
        <is>
          <t>M TEMAIANA TERAIMATEATA</t>
        </is>
      </c>
      <c r="N718" s="14" t="inlineStr">
        <is>
          <t>Chef d entreprise</t>
        </is>
      </c>
      <c r="O718" s="15" t="inlineStr">
        <is>
          <t>15911</t>
        </is>
      </c>
    </row>
    <row r="719" ht="20" customHeight="1">
      <c r="A719" s="16" t="inlineStr">
        <is>
          <t>PAEA-CCISM-0718</t>
        </is>
      </c>
      <c r="B719" s="16" t="inlineStr">
        <is>
          <t>316646</t>
        </is>
      </c>
      <c r="C719" s="17" t="inlineStr">
        <is>
          <t>TEMANUPAIOURA HITOTI</t>
        </is>
      </c>
      <c r="D719" s="17" t="inlineStr">
        <is>
          <t>PAEA PK 24 C/MONT - ITINERANT 98711 PAEA</t>
        </is>
      </c>
      <c r="E719" s="17" t="inlineStr">
        <is>
          <t>Patenté (Personne Physique)</t>
        </is>
      </c>
      <c r="F719" s="17" t="inlineStr">
        <is>
          <t>Patenté</t>
        </is>
      </c>
      <c r="G719" s="16" t="inlineStr">
        <is>
          <t>8130Z</t>
        </is>
      </c>
      <c r="H719" s="16" t="inlineStr">
        <is>
          <t>M</t>
        </is>
      </c>
      <c r="I719" s="17" t="inlineStr">
        <is>
          <t>Métiers &amp; Artisanat</t>
        </is>
      </c>
      <c r="J719" s="18" t="n">
        <v>0</v>
      </c>
      <c r="K719" s="18" t="n">
        <v>1</v>
      </c>
      <c r="L719" s="17" t="inlineStr"/>
      <c r="M719" s="17" t="inlineStr">
        <is>
          <t>22744 A</t>
        </is>
      </c>
      <c r="N719" s="17" t="inlineStr"/>
      <c r="O719" s="18" t="inlineStr"/>
    </row>
    <row r="720" ht="20" customHeight="1">
      <c r="A720" s="13" t="inlineStr">
        <is>
          <t>PAEA-CCISM-0719</t>
        </is>
      </c>
      <c r="B720" s="13" t="inlineStr">
        <is>
          <t>E92468</t>
        </is>
      </c>
      <c r="C720" s="14" t="inlineStr">
        <is>
          <t>TEMARII FOCHE</t>
        </is>
      </c>
      <c r="D720" s="14" t="inlineStr">
        <is>
          <t>LOT. TEPUHAPA LOT N°49 98711 PAEA</t>
        </is>
      </c>
      <c r="E720" s="14" t="inlineStr">
        <is>
          <t>Patenté (Personne Physique)</t>
        </is>
      </c>
      <c r="F720" s="14" t="inlineStr">
        <is>
          <t>Patenté</t>
        </is>
      </c>
      <c r="G720" s="13" t="inlineStr">
        <is>
          <t>4339Z</t>
        </is>
      </c>
      <c r="H720" s="13" t="inlineStr">
        <is>
          <t>M</t>
        </is>
      </c>
      <c r="I720" s="14" t="inlineStr">
        <is>
          <t>Métiers &amp; Artisanat</t>
        </is>
      </c>
      <c r="J720" s="15" t="n">
        <v>0</v>
      </c>
      <c r="K720" s="15" t="n">
        <v>1</v>
      </c>
      <c r="L720" s="14" t="inlineStr">
        <is>
          <t>22 2241 A</t>
        </is>
      </c>
      <c r="M720" s="14" t="inlineStr">
        <is>
          <t>M TEMARII FOCHE</t>
        </is>
      </c>
      <c r="N720" s="14" t="inlineStr">
        <is>
          <t>Chef d entreprise</t>
        </is>
      </c>
      <c r="O720" s="15" t="inlineStr">
        <is>
          <t>15933</t>
        </is>
      </c>
    </row>
    <row r="721" ht="20" customHeight="1">
      <c r="A721" s="16" t="inlineStr">
        <is>
          <t>PAEA-CCISM-0720</t>
        </is>
      </c>
      <c r="B721" s="16" t="inlineStr">
        <is>
          <t>782243</t>
        </is>
      </c>
      <c r="C721" s="17" t="inlineStr">
        <is>
          <t>TEMARIKI TAUHERE WANDA</t>
        </is>
      </c>
      <c r="D721" s="17" t="inlineStr">
        <is>
          <t>VALLEE DE OROFERO LOTISSEMENT MARAETEUA LOT 6 98711 PAEA</t>
        </is>
      </c>
      <c r="E721" s="17" t="inlineStr">
        <is>
          <t>Patenté (Personne Physique)</t>
        </is>
      </c>
      <c r="F721" s="17" t="inlineStr">
        <is>
          <t>Patenté</t>
        </is>
      </c>
      <c r="G721" s="16" t="inlineStr">
        <is>
          <t>8130Z</t>
        </is>
      </c>
      <c r="H721" s="16" t="inlineStr">
        <is>
          <t>M</t>
        </is>
      </c>
      <c r="I721" s="17" t="inlineStr">
        <is>
          <t>Métiers &amp; Artisanat</t>
        </is>
      </c>
      <c r="J721" s="18" t="n">
        <v>0</v>
      </c>
      <c r="K721" s="18" t="n">
        <v>1</v>
      </c>
      <c r="L721" s="17" t="inlineStr">
        <is>
          <t>25 631 A</t>
        </is>
      </c>
      <c r="M721" s="17" t="inlineStr">
        <is>
          <t>Mme TEMARIKI TAUHERE WANDA</t>
        </is>
      </c>
      <c r="N721" s="17" t="inlineStr">
        <is>
          <t>Chef d entreprise</t>
        </is>
      </c>
      <c r="O721" s="18" t="inlineStr">
        <is>
          <t>15955</t>
        </is>
      </c>
    </row>
    <row r="722" ht="20" customHeight="1">
      <c r="A722" s="13" t="inlineStr">
        <is>
          <t>PAEA-CCISM-0721</t>
        </is>
      </c>
      <c r="B722" s="13" t="inlineStr">
        <is>
          <t>D16973</t>
        </is>
      </c>
      <c r="C722" s="14" t="inlineStr">
        <is>
          <t>TEMARONO STIN NEE STIN HONORINE</t>
        </is>
      </c>
      <c r="D722" s="14" t="inlineStr">
        <is>
          <t>SERV. PAPEHUE LOT 19 98711 PAEA</t>
        </is>
      </c>
      <c r="E722" s="14" t="inlineStr">
        <is>
          <t>Patenté (Personne Physique)</t>
        </is>
      </c>
      <c r="F722" s="14" t="inlineStr">
        <is>
          <t>Patenté</t>
        </is>
      </c>
      <c r="G722" s="13" t="inlineStr">
        <is>
          <t>1020Z</t>
        </is>
      </c>
      <c r="H722" s="13" t="inlineStr">
        <is>
          <t>M</t>
        </is>
      </c>
      <c r="I722" s="14" t="inlineStr">
        <is>
          <t>Métiers &amp; Artisanat</t>
        </is>
      </c>
      <c r="J722" s="15" t="n">
        <v>1</v>
      </c>
      <c r="K722" s="15" t="n">
        <v>1</v>
      </c>
      <c r="L722" s="14" t="inlineStr">
        <is>
          <t>22 3505 A</t>
        </is>
      </c>
      <c r="M722" s="14" t="inlineStr">
        <is>
          <t>Mme TEMARONO STIN (Née STIN) HONORINE</t>
        </is>
      </c>
      <c r="N722" s="14" t="inlineStr">
        <is>
          <t>Chef d entreprise</t>
        </is>
      </c>
      <c r="O722" s="15" t="inlineStr">
        <is>
          <t>15959</t>
        </is>
      </c>
    </row>
    <row r="723" ht="20" customHeight="1">
      <c r="A723" s="16" t="inlineStr">
        <is>
          <t>PAEA-CCISM-0722</t>
        </is>
      </c>
      <c r="B723" s="16" t="inlineStr">
        <is>
          <t>E70613</t>
        </is>
      </c>
      <c r="C723" s="17" t="inlineStr">
        <is>
          <t>TEMATUANUI TINIFI</t>
        </is>
      </c>
      <c r="D723" s="17" t="inlineStr">
        <is>
          <t>98711 PAEA</t>
        </is>
      </c>
      <c r="E723" s="17" t="inlineStr">
        <is>
          <t>Patenté (Personne Physique)</t>
        </is>
      </c>
      <c r="F723" s="17" t="inlineStr">
        <is>
          <t>Patenté</t>
        </is>
      </c>
      <c r="G723" s="16" t="inlineStr">
        <is>
          <t>4339Z</t>
        </is>
      </c>
      <c r="H723" s="16" t="inlineStr">
        <is>
          <t>M</t>
        </is>
      </c>
      <c r="I723" s="17" t="inlineStr">
        <is>
          <t>Métiers &amp; Artisanat</t>
        </is>
      </c>
      <c r="J723" s="18" t="n">
        <v>0</v>
      </c>
      <c r="K723" s="18" t="n">
        <v>1</v>
      </c>
      <c r="L723" s="17" t="inlineStr">
        <is>
          <t>22 765 A</t>
        </is>
      </c>
      <c r="M723" s="17" t="inlineStr">
        <is>
          <t>M TEMATUANUI TINIFI</t>
        </is>
      </c>
      <c r="N723" s="17" t="inlineStr">
        <is>
          <t>Chef d entreprise</t>
        </is>
      </c>
      <c r="O723" s="18" t="inlineStr">
        <is>
          <t>15977</t>
        </is>
      </c>
    </row>
    <row r="724" ht="20" customHeight="1">
      <c r="A724" s="13" t="inlineStr">
        <is>
          <t>PAEA-CCISM-0723</t>
        </is>
      </c>
      <c r="B724" s="13" t="inlineStr">
        <is>
          <t>E10155</t>
        </is>
      </c>
      <c r="C724" s="14" t="inlineStr">
        <is>
          <t>TEMAURI JIMMY</t>
        </is>
      </c>
      <c r="D724" s="14" t="inlineStr">
        <is>
          <t>PK 19,5 CT/MONT 98711 PAEA</t>
        </is>
      </c>
      <c r="E724" s="14" t="inlineStr">
        <is>
          <t>Patenté (Personne Physique)</t>
        </is>
      </c>
      <c r="F724" s="14" t="inlineStr">
        <is>
          <t>Patenté</t>
        </is>
      </c>
      <c r="G724" s="13" t="inlineStr">
        <is>
          <t>4339Z</t>
        </is>
      </c>
      <c r="H724" s="13" t="inlineStr">
        <is>
          <t>M</t>
        </is>
      </c>
      <c r="I724" s="14" t="inlineStr">
        <is>
          <t>Métiers &amp; Artisanat</t>
        </is>
      </c>
      <c r="J724" s="15" t="n">
        <v>0</v>
      </c>
      <c r="K724" s="15" t="n">
        <v>1</v>
      </c>
      <c r="L724" s="14" t="inlineStr">
        <is>
          <t>21 272 A</t>
        </is>
      </c>
      <c r="M724" s="14" t="inlineStr">
        <is>
          <t>M TEMAURI JIMMY</t>
        </is>
      </c>
      <c r="N724" s="14" t="inlineStr">
        <is>
          <t>Chef d entreprise</t>
        </is>
      </c>
      <c r="O724" s="15" t="inlineStr">
        <is>
          <t>15983</t>
        </is>
      </c>
    </row>
    <row r="725" ht="20" customHeight="1">
      <c r="A725" s="16" t="inlineStr">
        <is>
          <t>PAEA-CCISM-0724</t>
        </is>
      </c>
      <c r="B725" s="16" t="inlineStr">
        <is>
          <t>C99336</t>
        </is>
      </c>
      <c r="C725" s="17" t="inlineStr">
        <is>
          <t>TEMAURI LANITEA</t>
        </is>
      </c>
      <c r="D725" s="17" t="inlineStr">
        <is>
          <t>DERRIERE ANCIEN MAGASIN MARIE 98711 PAEA</t>
        </is>
      </c>
      <c r="E725" s="17" t="inlineStr">
        <is>
          <t>Patenté (Personne Physique)</t>
        </is>
      </c>
      <c r="F725" s="17" t="inlineStr">
        <is>
          <t>Patenté</t>
        </is>
      </c>
      <c r="G725" s="16" t="inlineStr">
        <is>
          <t>3212Z</t>
        </is>
      </c>
      <c r="H725" s="16" t="inlineStr">
        <is>
          <t>M</t>
        </is>
      </c>
      <c r="I725" s="17" t="inlineStr">
        <is>
          <t>Métiers &amp; Artisanat</t>
        </is>
      </c>
      <c r="J725" s="18" t="n">
        <v>0</v>
      </c>
      <c r="K725" s="18" t="n">
        <v>1</v>
      </c>
      <c r="L725" s="17" t="inlineStr">
        <is>
          <t>18 2397 A</t>
        </is>
      </c>
      <c r="M725" s="17" t="inlineStr">
        <is>
          <t>Mme TEMAURI LANITEA</t>
        </is>
      </c>
      <c r="N725" s="17" t="inlineStr">
        <is>
          <t>Chef d entreprise</t>
        </is>
      </c>
      <c r="O725" s="18" t="inlineStr">
        <is>
          <t>15984</t>
        </is>
      </c>
    </row>
    <row r="726" ht="20" customHeight="1">
      <c r="A726" s="13" t="inlineStr">
        <is>
          <t>PAEA-CCISM-0725</t>
        </is>
      </c>
      <c r="B726" s="13" t="inlineStr">
        <is>
          <t>C41031</t>
        </is>
      </c>
      <c r="C726" s="14" t="inlineStr">
        <is>
          <t>TEMAURI POATA</t>
        </is>
      </c>
      <c r="D726" s="14" t="inlineStr">
        <is>
          <t>PARCELLE TERRES ATOPA ET ATIROO N°246 98711 PAEA</t>
        </is>
      </c>
      <c r="E726" s="14" t="inlineStr">
        <is>
          <t>Patenté (Personne Physique)</t>
        </is>
      </c>
      <c r="F726" s="14" t="inlineStr">
        <is>
          <t>Patenté</t>
        </is>
      </c>
      <c r="G726" s="13" t="inlineStr">
        <is>
          <t>4339Z</t>
        </is>
      </c>
      <c r="H726" s="13" t="inlineStr">
        <is>
          <t>M</t>
        </is>
      </c>
      <c r="I726" s="14" t="inlineStr">
        <is>
          <t>Métiers &amp; Artisanat</t>
        </is>
      </c>
      <c r="J726" s="15" t="n">
        <v>0</v>
      </c>
      <c r="K726" s="15" t="n">
        <v>1</v>
      </c>
      <c r="L726" s="14" t="inlineStr">
        <is>
          <t>17 1438 A</t>
        </is>
      </c>
      <c r="M726" s="14" t="inlineStr">
        <is>
          <t>M TEMAURI POATA</t>
        </is>
      </c>
      <c r="N726" s="14" t="inlineStr">
        <is>
          <t>Chef d entreprise</t>
        </is>
      </c>
      <c r="O726" s="15" t="inlineStr">
        <is>
          <t>15992</t>
        </is>
      </c>
    </row>
    <row r="727" ht="20" customHeight="1">
      <c r="A727" s="16" t="inlineStr">
        <is>
          <t>PAEA-CCISM-0726</t>
        </is>
      </c>
      <c r="B727" s="16" t="inlineStr">
        <is>
          <t>D30073</t>
        </is>
      </c>
      <c r="C727" s="17" t="inlineStr">
        <is>
          <t>TEMAURI VAIANA</t>
        </is>
      </c>
      <c r="D727" s="17" t="inlineStr">
        <is>
          <t>N°6 98711 PAEA</t>
        </is>
      </c>
      <c r="E727" s="17" t="inlineStr">
        <is>
          <t>Patenté (Personne Physique)</t>
        </is>
      </c>
      <c r="F727" s="17" t="inlineStr">
        <is>
          <t>Patenté</t>
        </is>
      </c>
      <c r="G727" s="16" t="inlineStr">
        <is>
          <t>4339Z</t>
        </is>
      </c>
      <c r="H727" s="16" t="inlineStr">
        <is>
          <t>M</t>
        </is>
      </c>
      <c r="I727" s="17" t="inlineStr">
        <is>
          <t>Métiers &amp; Artisanat</t>
        </is>
      </c>
      <c r="J727" s="18" t="n">
        <v>0</v>
      </c>
      <c r="K727" s="18" t="n">
        <v>1</v>
      </c>
      <c r="L727" s="17" t="inlineStr">
        <is>
          <t>19 1963 A</t>
        </is>
      </c>
      <c r="M727" s="17" t="inlineStr">
        <is>
          <t>Mme TEMAURI VAIANA</t>
        </is>
      </c>
      <c r="N727" s="17" t="inlineStr">
        <is>
          <t>Chef d entreprise</t>
        </is>
      </c>
      <c r="O727" s="18" t="inlineStr">
        <is>
          <t>15998</t>
        </is>
      </c>
    </row>
    <row r="728" ht="20" customHeight="1">
      <c r="A728" s="13" t="inlineStr">
        <is>
          <t>PAEA-CCISM-0727</t>
        </is>
      </c>
      <c r="B728" s="13" t="inlineStr">
        <is>
          <t>E70639</t>
        </is>
      </c>
      <c r="C728" s="14" t="inlineStr">
        <is>
          <t>TEMEHAMEHA CLADISSE</t>
        </is>
      </c>
      <c r="D728" s="14" t="inlineStr">
        <is>
          <t>RTE VALLEE OROFERO FACE FLORES LOUIS 98711 PAEA</t>
        </is>
      </c>
      <c r="E728" s="14" t="inlineStr">
        <is>
          <t>Patenté (Personne Physique)</t>
        </is>
      </c>
      <c r="F728" s="14" t="inlineStr">
        <is>
          <t>Patenté</t>
        </is>
      </c>
      <c r="G728" s="13" t="inlineStr">
        <is>
          <t>3299Z</t>
        </is>
      </c>
      <c r="H728" s="13" t="inlineStr">
        <is>
          <t>M</t>
        </is>
      </c>
      <c r="I728" s="14" t="inlineStr">
        <is>
          <t>Métiers &amp; Artisanat</t>
        </is>
      </c>
      <c r="J728" s="15" t="n">
        <v>0</v>
      </c>
      <c r="K728" s="15" t="n">
        <v>1</v>
      </c>
      <c r="L728" s="14" t="inlineStr">
        <is>
          <t>22 766 A</t>
        </is>
      </c>
      <c r="M728" s="14" t="inlineStr">
        <is>
          <t>Mme TEMEHAMEHA CLADISSE</t>
        </is>
      </c>
      <c r="N728" s="14" t="inlineStr">
        <is>
          <t>Chef d entreprise</t>
        </is>
      </c>
      <c r="O728" s="15" t="inlineStr">
        <is>
          <t>16010</t>
        </is>
      </c>
    </row>
    <row r="729" ht="20" customHeight="1">
      <c r="A729" s="16" t="inlineStr">
        <is>
          <t>PAEA-CCISM-0728</t>
        </is>
      </c>
      <c r="B729" s="16" t="inlineStr">
        <is>
          <t>C76300</t>
        </is>
      </c>
      <c r="C729" s="17" t="inlineStr">
        <is>
          <t>TENIARO ETIENNE FAUKURA</t>
        </is>
      </c>
      <c r="D729" s="17" t="inlineStr">
        <is>
          <t>98711 PAEA</t>
        </is>
      </c>
      <c r="E729" s="17" t="inlineStr">
        <is>
          <t>Patenté (Personne Physique)</t>
        </is>
      </c>
      <c r="F729" s="17" t="inlineStr">
        <is>
          <t>Patenté</t>
        </is>
      </c>
      <c r="G729" s="16" t="inlineStr">
        <is>
          <t>4321A</t>
        </is>
      </c>
      <c r="H729" s="16" t="inlineStr">
        <is>
          <t>M</t>
        </is>
      </c>
      <c r="I729" s="17" t="inlineStr">
        <is>
          <t>Métiers &amp; Artisanat</t>
        </is>
      </c>
      <c r="J729" s="18" t="n">
        <v>0</v>
      </c>
      <c r="K729" s="18" t="n">
        <v>1</v>
      </c>
      <c r="L729" s="17" t="inlineStr">
        <is>
          <t>18 814 A</t>
        </is>
      </c>
      <c r="M729" s="17" t="inlineStr">
        <is>
          <t>M TENIARO ETIENNE FAUKURA</t>
        </is>
      </c>
      <c r="N729" s="17" t="inlineStr">
        <is>
          <t>Chef d entreprise</t>
        </is>
      </c>
      <c r="O729" s="18" t="inlineStr">
        <is>
          <t>16032</t>
        </is>
      </c>
    </row>
    <row r="730" ht="20" customHeight="1">
      <c r="A730" s="13" t="inlineStr">
        <is>
          <t>PAEA-CCISM-0729</t>
        </is>
      </c>
      <c r="B730" s="13" t="inlineStr">
        <is>
          <t>782144</t>
        </is>
      </c>
      <c r="C730" s="14" t="inlineStr">
        <is>
          <t>TEORE MARC</t>
        </is>
      </c>
      <c r="D730" s="14" t="inlineStr">
        <is>
          <t>VALLEE OROFERO 98711 PAEA</t>
        </is>
      </c>
      <c r="E730" s="14" t="inlineStr">
        <is>
          <t>Patenté (Personne Physique)</t>
        </is>
      </c>
      <c r="F730" s="14" t="inlineStr">
        <is>
          <t>Patenté</t>
        </is>
      </c>
      <c r="G730" s="13" t="inlineStr">
        <is>
          <t>4339Z</t>
        </is>
      </c>
      <c r="H730" s="13" t="inlineStr">
        <is>
          <t>M</t>
        </is>
      </c>
      <c r="I730" s="14" t="inlineStr">
        <is>
          <t>Métiers &amp; Artisanat</t>
        </is>
      </c>
      <c r="J730" s="15" t="n">
        <v>0</v>
      </c>
      <c r="K730" s="15" t="n">
        <v>1</v>
      </c>
      <c r="L730" s="14" t="inlineStr">
        <is>
          <t>23 662 A</t>
        </is>
      </c>
      <c r="M730" s="14" t="inlineStr">
        <is>
          <t>M TEORE MARC</t>
        </is>
      </c>
      <c r="N730" s="14" t="inlineStr">
        <is>
          <t>Chef d entreprise</t>
        </is>
      </c>
      <c r="O730" s="15" t="inlineStr">
        <is>
          <t>16045</t>
        </is>
      </c>
    </row>
    <row r="731" ht="20" customHeight="1">
      <c r="A731" s="16" t="inlineStr">
        <is>
          <t>PAEA-CCISM-0730</t>
        </is>
      </c>
      <c r="B731" s="16" t="inlineStr">
        <is>
          <t>947671</t>
        </is>
      </c>
      <c r="C731" s="17" t="inlineStr">
        <is>
          <t>TEORE STEPHANE</t>
        </is>
      </c>
      <c r="D731" s="17" t="inlineStr">
        <is>
          <t>98711 PAEA</t>
        </is>
      </c>
      <c r="E731" s="17" t="inlineStr">
        <is>
          <t>Patenté (Personne Physique)</t>
        </is>
      </c>
      <c r="F731" s="17" t="inlineStr">
        <is>
          <t>Patenté</t>
        </is>
      </c>
      <c r="G731" s="16" t="inlineStr">
        <is>
          <t>4339Z</t>
        </is>
      </c>
      <c r="H731" s="16" t="inlineStr">
        <is>
          <t>M</t>
        </is>
      </c>
      <c r="I731" s="17" t="inlineStr">
        <is>
          <t>Métiers &amp; Artisanat</t>
        </is>
      </c>
      <c r="J731" s="18" t="n">
        <v>0</v>
      </c>
      <c r="K731" s="18" t="n">
        <v>1</v>
      </c>
      <c r="L731" s="17" t="inlineStr">
        <is>
          <t>21 3021 A</t>
        </is>
      </c>
      <c r="M731" s="17" t="inlineStr">
        <is>
          <t>M TEORE STEPHANE</t>
        </is>
      </c>
      <c r="N731" s="17" t="inlineStr">
        <is>
          <t>Chef d entreprise</t>
        </is>
      </c>
      <c r="O731" s="18" t="inlineStr">
        <is>
          <t>16046</t>
        </is>
      </c>
    </row>
    <row r="732" ht="20" customHeight="1">
      <c r="A732" s="13" t="inlineStr">
        <is>
          <t>PAEA-CCISM-0731</t>
        </is>
      </c>
      <c r="B732" s="13" t="inlineStr">
        <is>
          <t>C93552</t>
        </is>
      </c>
      <c r="C732" s="14" t="inlineStr">
        <is>
          <t>TEORE TEIHOTU GIANNI</t>
        </is>
      </c>
      <c r="D732" s="14" t="inlineStr">
        <is>
          <t>RTE DE LA VALLEE OROFERO QUA TEORE 98711 PAEA</t>
        </is>
      </c>
      <c r="E732" s="14" t="inlineStr">
        <is>
          <t>Patenté (Personne Physique)</t>
        </is>
      </c>
      <c r="F732" s="14" t="inlineStr">
        <is>
          <t>Patenté</t>
        </is>
      </c>
      <c r="G732" s="13" t="inlineStr">
        <is>
          <t>4520A</t>
        </is>
      </c>
      <c r="H732" s="13" t="inlineStr">
        <is>
          <t>M</t>
        </is>
      </c>
      <c r="I732" s="14" t="inlineStr">
        <is>
          <t>Métiers &amp; Artisanat</t>
        </is>
      </c>
      <c r="J732" s="15" t="n">
        <v>0</v>
      </c>
      <c r="K732" s="15" t="n">
        <v>1</v>
      </c>
      <c r="L732" s="14" t="inlineStr">
        <is>
          <t>18 1983 A</t>
        </is>
      </c>
      <c r="M732" s="14" t="inlineStr">
        <is>
          <t>M TEORE TEIHOTU GIANNI</t>
        </is>
      </c>
      <c r="N732" s="14" t="inlineStr">
        <is>
          <t>Chef d entreprise</t>
        </is>
      </c>
      <c r="O732" s="15" t="inlineStr">
        <is>
          <t>16047</t>
        </is>
      </c>
    </row>
    <row r="733" ht="20" customHeight="1">
      <c r="A733" s="16" t="inlineStr">
        <is>
          <t>PAEA-CCISM-0732</t>
        </is>
      </c>
      <c r="B733" s="16" t="inlineStr">
        <is>
          <t>D76589</t>
        </is>
      </c>
      <c r="C733" s="17" t="inlineStr">
        <is>
          <t>TEPA TEUMERE</t>
        </is>
      </c>
      <c r="D733" s="17" t="inlineStr">
        <is>
          <t>RTE DU LOTISSEMENT PAPEHUE LOTISSEMENT JAZAT LOGT N° 12 98711 PAEA</t>
        </is>
      </c>
      <c r="E733" s="17" t="inlineStr">
        <is>
          <t>Patenté (Personne Physique)</t>
        </is>
      </c>
      <c r="F733" s="17" t="inlineStr">
        <is>
          <t>Patenté</t>
        </is>
      </c>
      <c r="G733" s="16" t="inlineStr">
        <is>
          <t>9602B</t>
        </is>
      </c>
      <c r="H733" s="16" t="inlineStr">
        <is>
          <t>M</t>
        </is>
      </c>
      <c r="I733" s="17" t="inlineStr">
        <is>
          <t>Métiers &amp; Artisanat</t>
        </is>
      </c>
      <c r="J733" s="18" t="n">
        <v>1</v>
      </c>
      <c r="K733" s="18" t="n">
        <v>1</v>
      </c>
      <c r="L733" s="17" t="inlineStr">
        <is>
          <t>20 1202 A</t>
        </is>
      </c>
      <c r="M733" s="17" t="inlineStr">
        <is>
          <t>Mme TEPA TEUMERE</t>
        </is>
      </c>
      <c r="N733" s="17" t="inlineStr">
        <is>
          <t>Chef d entreprise</t>
        </is>
      </c>
      <c r="O733" s="18" t="inlineStr">
        <is>
          <t>16081</t>
        </is>
      </c>
    </row>
    <row r="734" ht="20" customHeight="1">
      <c r="A734" s="13" t="inlineStr">
        <is>
          <t>PAEA-CCISM-0733</t>
        </is>
      </c>
      <c r="B734" s="13" t="inlineStr">
        <is>
          <t>B30986</t>
        </is>
      </c>
      <c r="C734" s="14" t="inlineStr">
        <is>
          <t>TEPAHI-PORUTU BENEDICTE</t>
        </is>
      </c>
      <c r="D734" s="14" t="inlineStr">
        <is>
          <t>LOTIS SOCIAL TEPUHAPA N° 7 98711 PAEA</t>
        </is>
      </c>
      <c r="E734" s="14" t="inlineStr">
        <is>
          <t>Patenté (Personne Physique)</t>
        </is>
      </c>
      <c r="F734" s="14" t="inlineStr">
        <is>
          <t>Patenté</t>
        </is>
      </c>
      <c r="G734" s="13" t="inlineStr">
        <is>
          <t>8130Z</t>
        </is>
      </c>
      <c r="H734" s="13" t="inlineStr">
        <is>
          <t>M</t>
        </is>
      </c>
      <c r="I734" s="14" t="inlineStr">
        <is>
          <t>Métiers &amp; Artisanat</t>
        </is>
      </c>
      <c r="J734" s="15" t="n">
        <v>0</v>
      </c>
      <c r="K734" s="15" t="n">
        <v>1</v>
      </c>
      <c r="L734" s="14" t="inlineStr">
        <is>
          <t>15 1254 A</t>
        </is>
      </c>
      <c r="M734" s="14" t="inlineStr">
        <is>
          <t>M TEPAHI-PORUTU BENEDICTE</t>
        </is>
      </c>
      <c r="N734" s="14" t="inlineStr">
        <is>
          <t>Chef d entreprise</t>
        </is>
      </c>
      <c r="O734" s="15" t="inlineStr">
        <is>
          <t>16089</t>
        </is>
      </c>
    </row>
    <row r="735" ht="20" customHeight="1">
      <c r="A735" s="16" t="inlineStr">
        <is>
          <t>PAEA-CCISM-0734</t>
        </is>
      </c>
      <c r="B735" s="16" t="inlineStr">
        <is>
          <t>A38221</t>
        </is>
      </c>
      <c r="C735" s="17" t="inlineStr">
        <is>
          <t>TERAIEFA ANGELINA ARIIFANO</t>
        </is>
      </c>
      <c r="D735" s="17" t="inlineStr">
        <is>
          <t>TERRE TEPUTAITA PARCELLE AE 26 98711 PAEA</t>
        </is>
      </c>
      <c r="E735" s="17" t="inlineStr">
        <is>
          <t>Patenté (Personne Physique)</t>
        </is>
      </c>
      <c r="F735" s="17" t="inlineStr">
        <is>
          <t>Patenté</t>
        </is>
      </c>
      <c r="G735" s="16" t="inlineStr">
        <is>
          <t>1431Z</t>
        </is>
      </c>
      <c r="H735" s="16" t="inlineStr">
        <is>
          <t>M</t>
        </is>
      </c>
      <c r="I735" s="17" t="inlineStr">
        <is>
          <t>Métiers &amp; Artisanat</t>
        </is>
      </c>
      <c r="J735" s="18" t="n">
        <v>2</v>
      </c>
      <c r="K735" s="18" t="n">
        <v>1</v>
      </c>
      <c r="L735" s="17" t="inlineStr">
        <is>
          <t>16 1246 A</t>
        </is>
      </c>
      <c r="M735" s="17" t="inlineStr">
        <is>
          <t>Mme TERAIEFA ANGELINA ARIIFANO</t>
        </is>
      </c>
      <c r="N735" s="17" t="inlineStr">
        <is>
          <t>Chef d entreprise</t>
        </is>
      </c>
      <c r="O735" s="18" t="inlineStr">
        <is>
          <t>16143</t>
        </is>
      </c>
    </row>
    <row r="736" ht="20" customHeight="1">
      <c r="A736" s="13" t="inlineStr">
        <is>
          <t>PAEA-CCISM-0735</t>
        </is>
      </c>
      <c r="B736" s="13" t="inlineStr">
        <is>
          <t>F71486</t>
        </is>
      </c>
      <c r="C736" s="14" t="inlineStr">
        <is>
          <t>TERII MARAIA</t>
        </is>
      </c>
      <c r="D736" s="14" t="inlineStr">
        <is>
          <t>LOT 19 SERVITUDE PAPEHUE 98711 PAEA</t>
        </is>
      </c>
      <c r="E736" s="14" t="inlineStr">
        <is>
          <t>Patenté (Personne Physique)</t>
        </is>
      </c>
      <c r="F736" s="14" t="inlineStr">
        <is>
          <t>Patenté</t>
        </is>
      </c>
      <c r="G736" s="13" t="inlineStr">
        <is>
          <t>1071D</t>
        </is>
      </c>
      <c r="H736" s="13" t="inlineStr">
        <is>
          <t>M</t>
        </is>
      </c>
      <c r="I736" s="14" t="inlineStr">
        <is>
          <t>Métiers &amp; Artisanat</t>
        </is>
      </c>
      <c r="J736" s="15" t="n">
        <v>0</v>
      </c>
      <c r="K736" s="15" t="n">
        <v>1</v>
      </c>
      <c r="L736" s="14" t="inlineStr">
        <is>
          <t>24 430 A</t>
        </is>
      </c>
      <c r="M736" s="14" t="inlineStr">
        <is>
          <t>Mme TERII MARAIA</t>
        </is>
      </c>
      <c r="N736" s="14" t="inlineStr">
        <is>
          <t>Chef d entreprise</t>
        </is>
      </c>
      <c r="O736" s="15" t="inlineStr">
        <is>
          <t>16218</t>
        </is>
      </c>
    </row>
    <row r="737" ht="20" customHeight="1">
      <c r="A737" s="16" t="inlineStr">
        <is>
          <t>PAEA-CCISM-0736</t>
        </is>
      </c>
      <c r="B737" s="16" t="inlineStr">
        <is>
          <t>466607</t>
        </is>
      </c>
      <c r="C737" s="17" t="inlineStr">
        <is>
          <t>TERIIFA DARIO</t>
        </is>
      </c>
      <c r="D737" s="17" t="inlineStr">
        <is>
          <t>98711 PAEA</t>
        </is>
      </c>
      <c r="E737" s="17" t="inlineStr">
        <is>
          <t>Patenté (Personne Physique)</t>
        </is>
      </c>
      <c r="F737" s="17" t="inlineStr">
        <is>
          <t>Patenté</t>
        </is>
      </c>
      <c r="G737" s="16" t="inlineStr">
        <is>
          <t>4339Z</t>
        </is>
      </c>
      <c r="H737" s="16" t="inlineStr">
        <is>
          <t>M</t>
        </is>
      </c>
      <c r="I737" s="17" t="inlineStr">
        <is>
          <t>Métiers &amp; Artisanat</t>
        </is>
      </c>
      <c r="J737" s="18" t="n">
        <v>0</v>
      </c>
      <c r="K737" s="18" t="n">
        <v>1</v>
      </c>
      <c r="L737" s="17" t="inlineStr">
        <is>
          <t>23 2116 A</t>
        </is>
      </c>
      <c r="M737" s="17" t="inlineStr">
        <is>
          <t>M TERIIFA DARIO</t>
        </is>
      </c>
      <c r="N737" s="17" t="inlineStr">
        <is>
          <t>Chef d entreprise</t>
        </is>
      </c>
      <c r="O737" s="18" t="inlineStr">
        <is>
          <t>16236</t>
        </is>
      </c>
    </row>
    <row r="738" ht="20" customHeight="1">
      <c r="A738" s="13" t="inlineStr">
        <is>
          <t>PAEA-CCISM-0737</t>
        </is>
      </c>
      <c r="B738" s="13" t="inlineStr">
        <is>
          <t>523209</t>
        </is>
      </c>
      <c r="C738" s="14" t="inlineStr">
        <is>
          <t>TERIIORAI HENRI</t>
        </is>
      </c>
      <c r="D738" s="14" t="inlineStr">
        <is>
          <t>RESIDENCE LES JARDINS DE PAEA PK 20,500 CT/MONT TIAPA 98711 PAEA</t>
        </is>
      </c>
      <c r="E738" s="14" t="inlineStr">
        <is>
          <t>Patenté (Personne Physique)</t>
        </is>
      </c>
      <c r="F738" s="14" t="inlineStr">
        <is>
          <t>Patenté</t>
        </is>
      </c>
      <c r="G738" s="13" t="inlineStr">
        <is>
          <t>4339Z</t>
        </is>
      </c>
      <c r="H738" s="13" t="inlineStr">
        <is>
          <t>M</t>
        </is>
      </c>
      <c r="I738" s="14" t="inlineStr">
        <is>
          <t>Métiers &amp; Artisanat</t>
        </is>
      </c>
      <c r="J738" s="15" t="n">
        <v>0</v>
      </c>
      <c r="K738" s="15" t="n">
        <v>1</v>
      </c>
      <c r="L738" s="14" t="inlineStr">
        <is>
          <t>21 1378 A</t>
        </is>
      </c>
      <c r="M738" s="14" t="inlineStr">
        <is>
          <t>M TERIIORAI HENRI</t>
        </is>
      </c>
      <c r="N738" s="14" t="inlineStr">
        <is>
          <t>Chef d entreprise</t>
        </is>
      </c>
      <c r="O738" s="15" t="inlineStr">
        <is>
          <t>16261</t>
        </is>
      </c>
    </row>
    <row r="739" ht="20" customHeight="1">
      <c r="A739" s="16" t="inlineStr">
        <is>
          <t>PAEA-CCISM-0738</t>
        </is>
      </c>
      <c r="B739" s="16" t="inlineStr">
        <is>
          <t>E00271</t>
        </is>
      </c>
      <c r="C739" s="17" t="inlineStr">
        <is>
          <t>TERIIORAI TEIVA</t>
        </is>
      </c>
      <c r="D739" s="17" t="inlineStr">
        <is>
          <t>RESIDENCE LES JARDINS DE PAEA TIAPA 98711 PAEA</t>
        </is>
      </c>
      <c r="E739" s="17" t="inlineStr">
        <is>
          <t>Patenté (Personne Physique)</t>
        </is>
      </c>
      <c r="F739" s="17" t="inlineStr">
        <is>
          <t>Patenté</t>
        </is>
      </c>
      <c r="G739" s="16" t="inlineStr">
        <is>
          <t>4339Z</t>
        </is>
      </c>
      <c r="H739" s="16" t="inlineStr">
        <is>
          <t>M</t>
        </is>
      </c>
      <c r="I739" s="17" t="inlineStr">
        <is>
          <t>Métiers &amp; Artisanat</t>
        </is>
      </c>
      <c r="J739" s="18" t="n">
        <v>0</v>
      </c>
      <c r="K739" s="18" t="n">
        <v>1</v>
      </c>
      <c r="L739" s="17" t="inlineStr">
        <is>
          <t>20 2647 A</t>
        </is>
      </c>
      <c r="M739" s="17" t="inlineStr">
        <is>
          <t>M TERIIORAI TEIVA</t>
        </is>
      </c>
      <c r="N739" s="17" t="inlineStr">
        <is>
          <t>Chef d entreprise</t>
        </is>
      </c>
      <c r="O739" s="18" t="inlineStr">
        <is>
          <t>16263</t>
        </is>
      </c>
    </row>
    <row r="740" ht="20" customHeight="1">
      <c r="A740" s="13" t="inlineStr">
        <is>
          <t>PAEA-CCISM-0739</t>
        </is>
      </c>
      <c r="B740" s="13" t="inlineStr">
        <is>
          <t>865527</t>
        </is>
      </c>
      <c r="C740" s="14" t="inlineStr">
        <is>
          <t>TERIITAUMIHAU CELESTIN TAINA</t>
        </is>
      </c>
      <c r="D740" s="14" t="inlineStr">
        <is>
          <t>PAEA PK 28.500 C/MER - MARAA 98711 PAEA</t>
        </is>
      </c>
      <c r="E740" s="14" t="inlineStr">
        <is>
          <t>Patenté (Personne Physique)</t>
        </is>
      </c>
      <c r="F740" s="14" t="inlineStr">
        <is>
          <t>Patenté</t>
        </is>
      </c>
      <c r="G740" s="13" t="inlineStr">
        <is>
          <t>4120B</t>
        </is>
      </c>
      <c r="H740" s="13" t="inlineStr">
        <is>
          <t>M</t>
        </is>
      </c>
      <c r="I740" s="14" t="inlineStr">
        <is>
          <t>Métiers &amp; Artisanat</t>
        </is>
      </c>
      <c r="J740" s="15" t="n">
        <v>0</v>
      </c>
      <c r="K740" s="15" t="n">
        <v>1</v>
      </c>
      <c r="L740" s="14" t="inlineStr">
        <is>
          <t>08 895 A</t>
        </is>
      </c>
      <c r="M740" s="14" t="inlineStr">
        <is>
          <t>M TEMATAFAARERE CELESTIN TAINA</t>
        </is>
      </c>
      <c r="N740" s="14" t="inlineStr">
        <is>
          <t>Chef d entreprise</t>
        </is>
      </c>
      <c r="O740" s="15" t="inlineStr">
        <is>
          <t>16319</t>
        </is>
      </c>
    </row>
    <row r="741" ht="20" customHeight="1">
      <c r="A741" s="16" t="inlineStr">
        <is>
          <t>PAEA-CCISM-0740</t>
        </is>
      </c>
      <c r="B741" s="16" t="inlineStr">
        <is>
          <t>E50730</t>
        </is>
      </c>
      <c r="C741" s="17" t="inlineStr">
        <is>
          <t>TERIITETURUIRAI ELMA</t>
        </is>
      </c>
      <c r="D741" s="17" t="inlineStr">
        <is>
          <t>VALLEE OROFERO OROFERO 98711 PAEA</t>
        </is>
      </c>
      <c r="E741" s="17" t="inlineStr">
        <is>
          <t>Patenté (Personne Physique)</t>
        </is>
      </c>
      <c r="F741" s="17" t="inlineStr">
        <is>
          <t>Patenté</t>
        </is>
      </c>
      <c r="G741" s="16" t="inlineStr">
        <is>
          <t>8121Z</t>
        </is>
      </c>
      <c r="H741" s="16" t="inlineStr">
        <is>
          <t>M</t>
        </is>
      </c>
      <c r="I741" s="17" t="inlineStr">
        <is>
          <t>Métiers &amp; Artisanat</t>
        </is>
      </c>
      <c r="J741" s="18" t="n">
        <v>0</v>
      </c>
      <c r="K741" s="18" t="n">
        <v>1</v>
      </c>
      <c r="L741" s="17" t="inlineStr">
        <is>
          <t>21 2952 A</t>
        </is>
      </c>
      <c r="M741" s="17" t="inlineStr">
        <is>
          <t>Mme TERIITETURUIRAI ELMA</t>
        </is>
      </c>
      <c r="N741" s="17" t="inlineStr">
        <is>
          <t>Chef d entreprise</t>
        </is>
      </c>
      <c r="O741" s="18" t="inlineStr">
        <is>
          <t>16356</t>
        </is>
      </c>
    </row>
    <row r="742" ht="20" customHeight="1">
      <c r="A742" s="13" t="inlineStr">
        <is>
          <t>PAEA-CCISM-0741</t>
        </is>
      </c>
      <c r="B742" s="13" t="inlineStr">
        <is>
          <t>E48221</t>
        </is>
      </c>
      <c r="C742" s="14" t="inlineStr">
        <is>
          <t>TERIITUA NEE MANATE MERE</t>
        </is>
      </c>
      <c r="D742" s="14" t="inlineStr">
        <is>
          <t>LOTISS.TAREVAREVA N°19 RTE OROFERO 98711 PAEA</t>
        </is>
      </c>
      <c r="E742" s="14" t="inlineStr">
        <is>
          <t>Patenté (Personne Physique)</t>
        </is>
      </c>
      <c r="F742" s="14" t="inlineStr">
        <is>
          <t>Patenté</t>
        </is>
      </c>
      <c r="G742" s="13" t="inlineStr">
        <is>
          <t>1419Z</t>
        </is>
      </c>
      <c r="H742" s="13" t="inlineStr">
        <is>
          <t>M</t>
        </is>
      </c>
      <c r="I742" s="14" t="inlineStr">
        <is>
          <t>Métiers &amp; Artisanat</t>
        </is>
      </c>
      <c r="J742" s="15" t="n">
        <v>0</v>
      </c>
      <c r="K742" s="15" t="n">
        <v>1</v>
      </c>
      <c r="L742" s="14" t="inlineStr">
        <is>
          <t>21 3240 A</t>
        </is>
      </c>
      <c r="M742" s="14" t="inlineStr">
        <is>
          <t>Mme TERIITUA (Née MANATE) MERE</t>
        </is>
      </c>
      <c r="N742" s="14" t="inlineStr">
        <is>
          <t>Chef d entreprise</t>
        </is>
      </c>
      <c r="O742" s="15" t="inlineStr">
        <is>
          <t>16358</t>
        </is>
      </c>
    </row>
    <row r="743" ht="20" customHeight="1">
      <c r="A743" s="16" t="inlineStr">
        <is>
          <t>PAEA-CCISM-0742</t>
        </is>
      </c>
      <c r="B743" s="16" t="inlineStr">
        <is>
          <t>D40544</t>
        </is>
      </c>
      <c r="C743" s="17" t="inlineStr">
        <is>
          <t>TETAUIRA MOEROA</t>
        </is>
      </c>
      <c r="D743" s="17" t="inlineStr">
        <is>
          <t>RESIDENCE VAITUPA 2 LOT 54 98711 PAEA</t>
        </is>
      </c>
      <c r="E743" s="17" t="inlineStr">
        <is>
          <t>Patenté (Personne Physique)</t>
        </is>
      </c>
      <c r="F743" s="17" t="inlineStr">
        <is>
          <t>Patenté</t>
        </is>
      </c>
      <c r="G743" s="16" t="inlineStr">
        <is>
          <t>4339Z</t>
        </is>
      </c>
      <c r="H743" s="16" t="inlineStr">
        <is>
          <t>M</t>
        </is>
      </c>
      <c r="I743" s="17" t="inlineStr">
        <is>
          <t>Métiers &amp; Artisanat</t>
        </is>
      </c>
      <c r="J743" s="18" t="n">
        <v>0</v>
      </c>
      <c r="K743" s="18" t="n">
        <v>1</v>
      </c>
      <c r="L743" s="17" t="inlineStr">
        <is>
          <t>19 2328 A</t>
        </is>
      </c>
      <c r="M743" s="17" t="inlineStr">
        <is>
          <t>M TETAUIRA MOEROA</t>
        </is>
      </c>
      <c r="N743" s="17" t="inlineStr">
        <is>
          <t>Chef d entreprise</t>
        </is>
      </c>
      <c r="O743" s="18" t="inlineStr">
        <is>
          <t>16421</t>
        </is>
      </c>
    </row>
    <row r="744" ht="20" customHeight="1">
      <c r="A744" s="13" t="inlineStr">
        <is>
          <t>PAEA-CCISM-0743</t>
        </is>
      </c>
      <c r="B744" s="13" t="inlineStr">
        <is>
          <t>F83630</t>
        </is>
      </c>
      <c r="C744" s="14" t="inlineStr">
        <is>
          <t>TETAUUPU SAMUEL</t>
        </is>
      </c>
      <c r="D744" s="14" t="inlineStr">
        <is>
          <t>LOTISSEMENT PAPEHUE 98711 PAEA</t>
        </is>
      </c>
      <c r="E744" s="14" t="inlineStr">
        <is>
          <t>Patenté (Personne Physique)</t>
        </is>
      </c>
      <c r="F744" s="14" t="inlineStr">
        <is>
          <t>Patenté</t>
        </is>
      </c>
      <c r="G744" s="13" t="inlineStr">
        <is>
          <t>4339Z</t>
        </is>
      </c>
      <c r="H744" s="13" t="inlineStr">
        <is>
          <t>M</t>
        </is>
      </c>
      <c r="I744" s="14" t="inlineStr">
        <is>
          <t>Métiers &amp; Artisanat</t>
        </is>
      </c>
      <c r="J744" s="15" t="n">
        <v>0</v>
      </c>
      <c r="K744" s="15" t="n">
        <v>1</v>
      </c>
      <c r="L744" s="14" t="inlineStr">
        <is>
          <t>24 1174 A</t>
        </is>
      </c>
      <c r="M744" s="14" t="inlineStr">
        <is>
          <t>M TETAUUPU SAMUEL</t>
        </is>
      </c>
      <c r="N744" s="14" t="inlineStr">
        <is>
          <t>Chef d entreprise</t>
        </is>
      </c>
      <c r="O744" s="15" t="inlineStr">
        <is>
          <t>16432</t>
        </is>
      </c>
    </row>
    <row r="745" ht="20" customHeight="1">
      <c r="A745" s="16" t="inlineStr">
        <is>
          <t>PAEA-CCISM-0744</t>
        </is>
      </c>
      <c r="B745" s="16" t="inlineStr">
        <is>
          <t>319632</t>
        </is>
      </c>
      <c r="C745" s="17" t="inlineStr">
        <is>
          <t>TETIARAHI PAUL</t>
        </is>
      </c>
      <c r="D745" s="17" t="inlineStr">
        <is>
          <t>PAEA PK 22.800 C/MONT 98711 PAEA</t>
        </is>
      </c>
      <c r="E745" s="17" t="inlineStr">
        <is>
          <t>Patenté (Personne Physique)</t>
        </is>
      </c>
      <c r="F745" s="17" t="inlineStr">
        <is>
          <t>Patenté</t>
        </is>
      </c>
      <c r="G745" s="16" t="inlineStr">
        <is>
          <t>4339Z</t>
        </is>
      </c>
      <c r="H745" s="16" t="inlineStr">
        <is>
          <t>M</t>
        </is>
      </c>
      <c r="I745" s="17" t="inlineStr">
        <is>
          <t>Métiers &amp; Artisanat</t>
        </is>
      </c>
      <c r="J745" s="18" t="n">
        <v>0</v>
      </c>
      <c r="K745" s="18" t="n">
        <v>1</v>
      </c>
      <c r="L745" s="17" t="inlineStr">
        <is>
          <t>22912 A</t>
        </is>
      </c>
      <c r="M745" s="17" t="inlineStr">
        <is>
          <t>M TETIARAHI PAUL</t>
        </is>
      </c>
      <c r="N745" s="17" t="inlineStr">
        <is>
          <t>Chef d entreprise</t>
        </is>
      </c>
      <c r="O745" s="18" t="inlineStr">
        <is>
          <t>16441</t>
        </is>
      </c>
    </row>
    <row r="746" ht="20" customHeight="1">
      <c r="A746" s="13" t="inlineStr">
        <is>
          <t>PAEA-CCISM-0745</t>
        </is>
      </c>
      <c r="B746" s="13" t="inlineStr">
        <is>
          <t>E36739</t>
        </is>
      </c>
      <c r="C746" s="14" t="inlineStr">
        <is>
          <t>TETOE ERROL</t>
        </is>
      </c>
      <c r="D746" s="14" t="inlineStr">
        <is>
          <t>SERVITUDE AMATAHIAPO 98711 PAEA</t>
        </is>
      </c>
      <c r="E746" s="14" t="inlineStr">
        <is>
          <t>Patenté (Personne Physique)</t>
        </is>
      </c>
      <c r="F746" s="14" t="inlineStr">
        <is>
          <t>Patenté</t>
        </is>
      </c>
      <c r="G746" s="13" t="inlineStr">
        <is>
          <t>4339Z</t>
        </is>
      </c>
      <c r="H746" s="13" t="inlineStr">
        <is>
          <t>M</t>
        </is>
      </c>
      <c r="I746" s="14" t="inlineStr">
        <is>
          <t>Métiers &amp; Artisanat</t>
        </is>
      </c>
      <c r="J746" s="15" t="n">
        <v>0</v>
      </c>
      <c r="K746" s="15" t="n">
        <v>1</v>
      </c>
      <c r="L746" s="14" t="inlineStr">
        <is>
          <t>21 1983 A</t>
        </is>
      </c>
      <c r="M746" s="14" t="inlineStr">
        <is>
          <t>M TETOE ERROL</t>
        </is>
      </c>
      <c r="N746" s="14" t="inlineStr">
        <is>
          <t>Chef d entreprise</t>
        </is>
      </c>
      <c r="O746" s="15" t="inlineStr">
        <is>
          <t>16451</t>
        </is>
      </c>
    </row>
    <row r="747" ht="20" customHeight="1">
      <c r="A747" s="16" t="inlineStr">
        <is>
          <t>PAEA-CCISM-0746</t>
        </is>
      </c>
      <c r="B747" s="16" t="inlineStr">
        <is>
          <t>895011</t>
        </is>
      </c>
      <c r="C747" s="17" t="inlineStr">
        <is>
          <t>TETU RERENUI MAUI</t>
        </is>
      </c>
      <c r="D747" s="17" t="inlineStr">
        <is>
          <t>PAEA PK 20.500 C/MONT - LOTISSEMENT TE 98711 PAEA</t>
        </is>
      </c>
      <c r="E747" s="17" t="inlineStr">
        <is>
          <t>Patenté (Personne Physique)</t>
        </is>
      </c>
      <c r="F747" s="17" t="inlineStr">
        <is>
          <t>Patenté</t>
        </is>
      </c>
      <c r="G747" s="16" t="inlineStr">
        <is>
          <t>8130Z</t>
        </is>
      </c>
      <c r="H747" s="16" t="inlineStr">
        <is>
          <t>M</t>
        </is>
      </c>
      <c r="I747" s="17" t="inlineStr">
        <is>
          <t>Métiers &amp; Artisanat</t>
        </is>
      </c>
      <c r="J747" s="18" t="n">
        <v>0</v>
      </c>
      <c r="K747" s="18" t="n">
        <v>1</v>
      </c>
      <c r="L747" s="17" t="inlineStr">
        <is>
          <t>09 260 A</t>
        </is>
      </c>
      <c r="M747" s="17" t="inlineStr">
        <is>
          <t>M TETU RERENUI MAUI</t>
        </is>
      </c>
      <c r="N747" s="17" t="inlineStr">
        <is>
          <t>Chef d entreprise</t>
        </is>
      </c>
      <c r="O747" s="18" t="inlineStr">
        <is>
          <t>16475</t>
        </is>
      </c>
    </row>
    <row r="748" ht="20" customHeight="1">
      <c r="A748" s="13" t="inlineStr">
        <is>
          <t>PAEA-CCISM-0747</t>
        </is>
      </c>
      <c r="B748" s="13" t="inlineStr">
        <is>
          <t>A60704</t>
        </is>
      </c>
      <c r="C748" s="14" t="inlineStr">
        <is>
          <t>TETUAMANUHIRI ABRAHAM</t>
        </is>
      </c>
      <c r="D748" s="14" t="inlineStr">
        <is>
          <t>SERVITUDE FAGNEAUX 98711 PAEA</t>
        </is>
      </c>
      <c r="E748" s="14" t="inlineStr">
        <is>
          <t>Patenté (Personne Physique)</t>
        </is>
      </c>
      <c r="F748" s="14" t="inlineStr">
        <is>
          <t>Patenté</t>
        </is>
      </c>
      <c r="G748" s="13" t="inlineStr">
        <is>
          <t>4339Z</t>
        </is>
      </c>
      <c r="H748" s="13" t="inlineStr">
        <is>
          <t>M</t>
        </is>
      </c>
      <c r="I748" s="14" t="inlineStr">
        <is>
          <t>Métiers &amp; Artisanat</t>
        </is>
      </c>
      <c r="J748" s="15" t="n">
        <v>0</v>
      </c>
      <c r="K748" s="15" t="n">
        <v>1</v>
      </c>
      <c r="L748" s="14" t="inlineStr">
        <is>
          <t>19 1004 A</t>
        </is>
      </c>
      <c r="M748" s="14" t="inlineStr">
        <is>
          <t>M TETUAMANUHIRI ABRAHAM</t>
        </is>
      </c>
      <c r="N748" s="14" t="inlineStr">
        <is>
          <t>Chef d entreprise</t>
        </is>
      </c>
      <c r="O748" s="15" t="inlineStr">
        <is>
          <t>16496</t>
        </is>
      </c>
    </row>
    <row r="749" ht="20" customHeight="1">
      <c r="A749" s="16" t="inlineStr">
        <is>
          <t>PAEA-CCISM-0748</t>
        </is>
      </c>
      <c r="B749" s="16" t="inlineStr">
        <is>
          <t>D60732</t>
        </is>
      </c>
      <c r="C749" s="17" t="inlineStr">
        <is>
          <t>TETUAMANUHIRI NINIREI HINANUI</t>
        </is>
      </c>
      <c r="D749" s="17" t="inlineStr">
        <is>
          <t>LOT CPS N°14 98711 PAEA</t>
        </is>
      </c>
      <c r="E749" s="17" t="inlineStr">
        <is>
          <t>Patenté (Personne Physique)</t>
        </is>
      </c>
      <c r="F749" s="17" t="inlineStr">
        <is>
          <t>Patenté</t>
        </is>
      </c>
      <c r="G749" s="16" t="inlineStr">
        <is>
          <t>4520A</t>
        </is>
      </c>
      <c r="H749" s="16" t="inlineStr">
        <is>
          <t>M</t>
        </is>
      </c>
      <c r="I749" s="17" t="inlineStr">
        <is>
          <t>Métiers &amp; Artisanat</t>
        </is>
      </c>
      <c r="J749" s="18" t="n">
        <v>0</v>
      </c>
      <c r="K749" s="18" t="n">
        <v>1</v>
      </c>
      <c r="L749" s="17" t="inlineStr">
        <is>
          <t>20 320 A</t>
        </is>
      </c>
      <c r="M749" s="17" t="inlineStr">
        <is>
          <t>Mme TETUAMANUHIRI NINIREI HINANUI</t>
        </is>
      </c>
      <c r="N749" s="17" t="inlineStr">
        <is>
          <t>Chef d entreprise</t>
        </is>
      </c>
      <c r="O749" s="18" t="inlineStr">
        <is>
          <t>16498</t>
        </is>
      </c>
    </row>
    <row r="750" ht="20" customHeight="1">
      <c r="A750" s="13" t="inlineStr">
        <is>
          <t>PAEA-CCISM-0749</t>
        </is>
      </c>
      <c r="B750" s="13" t="inlineStr">
        <is>
          <t>615203</t>
        </is>
      </c>
      <c r="C750" s="14" t="inlineStr">
        <is>
          <t>TETUANUI ALEXANDRE</t>
        </is>
      </c>
      <c r="D750" s="14" t="inlineStr">
        <is>
          <t>RTE DU LOTISSEMENT VAITERUPE 98711 PAEA</t>
        </is>
      </c>
      <c r="E750" s="14" t="inlineStr">
        <is>
          <t>Patenté (Personne Physique)</t>
        </is>
      </c>
      <c r="F750" s="14" t="inlineStr">
        <is>
          <t>Patenté</t>
        </is>
      </c>
      <c r="G750" s="13" t="inlineStr">
        <is>
          <t>4399E</t>
        </is>
      </c>
      <c r="H750" s="13" t="inlineStr">
        <is>
          <t>M</t>
        </is>
      </c>
      <c r="I750" s="14" t="inlineStr">
        <is>
          <t>Métiers &amp; Artisanat</t>
        </is>
      </c>
      <c r="J750" s="15" t="n">
        <v>0</v>
      </c>
      <c r="K750" s="15" t="n">
        <v>1</v>
      </c>
      <c r="L750" s="14" t="inlineStr">
        <is>
          <t>45221 A</t>
        </is>
      </c>
      <c r="M750" s="14" t="inlineStr">
        <is>
          <t>M TETUANUI ALEXANDRE</t>
        </is>
      </c>
      <c r="N750" s="14" t="inlineStr">
        <is>
          <t>Chef d entreprise</t>
        </is>
      </c>
      <c r="O750" s="15" t="inlineStr">
        <is>
          <t>16499</t>
        </is>
      </c>
    </row>
    <row r="751" ht="20" customHeight="1">
      <c r="A751" s="16" t="inlineStr">
        <is>
          <t>PAEA-CCISM-0750</t>
        </is>
      </c>
      <c r="B751" s="16" t="inlineStr">
        <is>
          <t>103515</t>
        </is>
      </c>
      <c r="C751" s="17" t="inlineStr">
        <is>
          <t>TETUANUI LEON</t>
        </is>
      </c>
      <c r="D751" s="17" t="inlineStr">
        <is>
          <t>VAL DE OROFERO BP 330200 98711 PAEA</t>
        </is>
      </c>
      <c r="E751" s="17" t="inlineStr">
        <is>
          <t>Patenté (Personne Physique)</t>
        </is>
      </c>
      <c r="F751" s="17" t="inlineStr">
        <is>
          <t>Patenté</t>
        </is>
      </c>
      <c r="G751" s="16" t="inlineStr">
        <is>
          <t>4339Z</t>
        </is>
      </c>
      <c r="H751" s="16" t="inlineStr">
        <is>
          <t>M</t>
        </is>
      </c>
      <c r="I751" s="17" t="inlineStr">
        <is>
          <t>Métiers &amp; Artisanat</t>
        </is>
      </c>
      <c r="J751" s="18" t="n">
        <v>0</v>
      </c>
      <c r="K751" s="18" t="n">
        <v>1</v>
      </c>
      <c r="L751" s="17" t="inlineStr">
        <is>
          <t>21 1034 A</t>
        </is>
      </c>
      <c r="M751" s="17" t="inlineStr">
        <is>
          <t>M TETUANUI LEON</t>
        </is>
      </c>
      <c r="N751" s="17" t="inlineStr">
        <is>
          <t>Chef d entreprise</t>
        </is>
      </c>
      <c r="O751" s="18" t="inlineStr">
        <is>
          <t>16514</t>
        </is>
      </c>
    </row>
    <row r="752" ht="20" customHeight="1">
      <c r="A752" s="13" t="inlineStr">
        <is>
          <t>PAEA-CCISM-0751</t>
        </is>
      </c>
      <c r="B752" s="13" t="inlineStr">
        <is>
          <t>470823</t>
        </is>
      </c>
      <c r="C752" s="14" t="inlineStr">
        <is>
          <t>TETUANUI THERESE</t>
        </is>
      </c>
      <c r="D752" s="14" t="inlineStr">
        <is>
          <t>SERVITUDE PICARD 98711 PAEA</t>
        </is>
      </c>
      <c r="E752" s="14" t="inlineStr">
        <is>
          <t>Patenté (Personne Physique)</t>
        </is>
      </c>
      <c r="F752" s="14" t="inlineStr">
        <is>
          <t>Patenté</t>
        </is>
      </c>
      <c r="G752" s="13" t="inlineStr">
        <is>
          <t>8121Z</t>
        </is>
      </c>
      <c r="H752" s="13" t="inlineStr">
        <is>
          <t>M</t>
        </is>
      </c>
      <c r="I752" s="14" t="inlineStr">
        <is>
          <t>Métiers &amp; Artisanat</t>
        </is>
      </c>
      <c r="J752" s="15" t="n">
        <v>0</v>
      </c>
      <c r="K752" s="15" t="n">
        <v>1</v>
      </c>
      <c r="L752" s="14" t="inlineStr">
        <is>
          <t>23 1852 A</t>
        </is>
      </c>
      <c r="M752" s="14" t="inlineStr">
        <is>
          <t>Mme TETUANUI THERESE</t>
        </is>
      </c>
      <c r="N752" s="14" t="inlineStr">
        <is>
          <t>Chef d entreprise</t>
        </is>
      </c>
      <c r="O752" s="15" t="inlineStr">
        <is>
          <t>16530</t>
        </is>
      </c>
    </row>
    <row r="753" ht="20" customHeight="1">
      <c r="A753" s="16" t="inlineStr">
        <is>
          <t>PAEA-CCISM-0752</t>
        </is>
      </c>
      <c r="B753" s="16" t="inlineStr">
        <is>
          <t>428318</t>
        </is>
      </c>
      <c r="C753" s="17" t="inlineStr">
        <is>
          <t>TETURU STELLIO MARAU</t>
        </is>
      </c>
      <c r="D753" s="17" t="inlineStr">
        <is>
          <t>SERV TAPUTUARAI 98711 PAEA</t>
        </is>
      </c>
      <c r="E753" s="17" t="inlineStr">
        <is>
          <t>Patenté (Personne Physique)</t>
        </is>
      </c>
      <c r="F753" s="17" t="inlineStr">
        <is>
          <t>Patenté</t>
        </is>
      </c>
      <c r="G753" s="16" t="inlineStr">
        <is>
          <t>4332B</t>
        </is>
      </c>
      <c r="H753" s="16" t="inlineStr">
        <is>
          <t>M</t>
        </is>
      </c>
      <c r="I753" s="17" t="inlineStr">
        <is>
          <t>Métiers &amp; Artisanat</t>
        </is>
      </c>
      <c r="J753" s="18" t="n">
        <v>0</v>
      </c>
      <c r="K753" s="18" t="n">
        <v>1</v>
      </c>
      <c r="L753" s="17" t="inlineStr">
        <is>
          <t>14 2133 A</t>
        </is>
      </c>
      <c r="M753" s="17" t="inlineStr">
        <is>
          <t>M TETURU STELLIO MARAU</t>
        </is>
      </c>
      <c r="N753" s="17" t="inlineStr">
        <is>
          <t>Chef d entreprise</t>
        </is>
      </c>
      <c r="O753" s="18" t="inlineStr">
        <is>
          <t>16553</t>
        </is>
      </c>
    </row>
    <row r="754" ht="20" customHeight="1">
      <c r="A754" s="13" t="inlineStr">
        <is>
          <t>PAEA-CCISM-0753</t>
        </is>
      </c>
      <c r="B754" s="13" t="inlineStr">
        <is>
          <t>649574</t>
        </is>
      </c>
      <c r="C754" s="14" t="inlineStr">
        <is>
          <t>TEUIRA ALIENDE HEIVA</t>
        </is>
      </c>
      <c r="D754" s="14" t="inlineStr">
        <is>
          <t>DERRIERE ECOLE VAIPUARII 98711 PAEA</t>
        </is>
      </c>
      <c r="E754" s="14" t="inlineStr">
        <is>
          <t>Patenté (Personne Physique)</t>
        </is>
      </c>
      <c r="F754" s="14" t="inlineStr">
        <is>
          <t>Patenté</t>
        </is>
      </c>
      <c r="G754" s="13" t="inlineStr">
        <is>
          <t>4520A</t>
        </is>
      </c>
      <c r="H754" s="13" t="inlineStr">
        <is>
          <t>M</t>
        </is>
      </c>
      <c r="I754" s="14" t="inlineStr">
        <is>
          <t>Métiers &amp; Artisanat</t>
        </is>
      </c>
      <c r="J754" s="15" t="n">
        <v>0</v>
      </c>
      <c r="K754" s="15" t="n">
        <v>1</v>
      </c>
      <c r="L754" s="14" t="inlineStr">
        <is>
          <t>13 669 A</t>
        </is>
      </c>
      <c r="M754" s="14" t="inlineStr">
        <is>
          <t>M TEUIRA ALIENDE HEIVA</t>
        </is>
      </c>
      <c r="N754" s="14" t="inlineStr">
        <is>
          <t>Chef d entreprise</t>
        </is>
      </c>
      <c r="O754" s="15" t="inlineStr">
        <is>
          <t>16562</t>
        </is>
      </c>
    </row>
    <row r="755" ht="20" customHeight="1">
      <c r="A755" s="16" t="inlineStr">
        <is>
          <t>PAEA-CCISM-0754</t>
        </is>
      </c>
      <c r="B755" s="16" t="inlineStr">
        <is>
          <t>E61703</t>
        </is>
      </c>
      <c r="C755" s="17" t="inlineStr">
        <is>
          <t>TEUIRA MEHERIO</t>
        </is>
      </c>
      <c r="D755" s="17" t="inlineStr">
        <is>
          <t>SERVITUDE TITEN 98711 PAEA</t>
        </is>
      </c>
      <c r="E755" s="17" t="inlineStr">
        <is>
          <t>Patenté (Personne Physique)</t>
        </is>
      </c>
      <c r="F755" s="17" t="inlineStr">
        <is>
          <t>Patenté</t>
        </is>
      </c>
      <c r="G755" s="16" t="inlineStr">
        <is>
          <t>9602B</t>
        </is>
      </c>
      <c r="H755" s="16" t="inlineStr">
        <is>
          <t>M</t>
        </is>
      </c>
      <c r="I755" s="17" t="inlineStr">
        <is>
          <t>Métiers &amp; Artisanat</t>
        </is>
      </c>
      <c r="J755" s="18" t="n">
        <v>0</v>
      </c>
      <c r="K755" s="18" t="n">
        <v>1</v>
      </c>
      <c r="L755" s="17" t="inlineStr">
        <is>
          <t>22 194 A</t>
        </is>
      </c>
      <c r="M755" s="17" t="inlineStr">
        <is>
          <t>Mme TEUIRA MEHERIO</t>
        </is>
      </c>
      <c r="N755" s="17" t="inlineStr">
        <is>
          <t>Chef d entreprise</t>
        </is>
      </c>
      <c r="O755" s="18" t="inlineStr">
        <is>
          <t>16571</t>
        </is>
      </c>
    </row>
    <row r="756" ht="20" customHeight="1">
      <c r="A756" s="13" t="inlineStr">
        <is>
          <t>PAEA-CCISM-0755</t>
        </is>
      </c>
      <c r="B756" s="13" t="inlineStr">
        <is>
          <t>517086</t>
        </is>
      </c>
      <c r="C756" s="14" t="inlineStr">
        <is>
          <t>TEUIRA PHILIBERT</t>
        </is>
      </c>
      <c r="D756" s="14" t="inlineStr">
        <is>
          <t>PAEA PK 21.5 C/MONT QTR.AFOU 98711 PAEA</t>
        </is>
      </c>
      <c r="E756" s="14" t="inlineStr">
        <is>
          <t>Patenté (Personne Physique)</t>
        </is>
      </c>
      <c r="F756" s="14" t="inlineStr">
        <is>
          <t>Patenté</t>
        </is>
      </c>
      <c r="G756" s="13" t="inlineStr">
        <is>
          <t>4321A</t>
        </is>
      </c>
      <c r="H756" s="13" t="inlineStr">
        <is>
          <t>M</t>
        </is>
      </c>
      <c r="I756" s="14" t="inlineStr">
        <is>
          <t>Métiers &amp; Artisanat</t>
        </is>
      </c>
      <c r="J756" s="15" t="n">
        <v>0</v>
      </c>
      <c r="K756" s="15" t="n">
        <v>1</v>
      </c>
      <c r="L756" s="14" t="inlineStr"/>
      <c r="M756" s="14" t="inlineStr">
        <is>
          <t>35419 A</t>
        </is>
      </c>
      <c r="N756" s="14" t="inlineStr"/>
      <c r="O756" s="15" t="inlineStr"/>
    </row>
    <row r="757" ht="20" customHeight="1">
      <c r="A757" s="16" t="inlineStr">
        <is>
          <t>PAEA-CCISM-0756</t>
        </is>
      </c>
      <c r="B757" s="16" t="inlineStr">
        <is>
          <t>912949</t>
        </is>
      </c>
      <c r="C757" s="17" t="inlineStr">
        <is>
          <t>TEUIRA TAMATEA KENNY NOE</t>
        </is>
      </c>
      <c r="D757" s="17" t="inlineStr">
        <is>
          <t>PAEA PK 22 C/MONT - VALLEE OROFERO 98711 PAEA</t>
        </is>
      </c>
      <c r="E757" s="17" t="inlineStr">
        <is>
          <t>Patenté (Personne Physique)</t>
        </is>
      </c>
      <c r="F757" s="17" t="inlineStr">
        <is>
          <t>Patenté</t>
        </is>
      </c>
      <c r="G757" s="16" t="inlineStr">
        <is>
          <t>1071D</t>
        </is>
      </c>
      <c r="H757" s="16" t="inlineStr">
        <is>
          <t>M</t>
        </is>
      </c>
      <c r="I757" s="17" t="inlineStr">
        <is>
          <t>Métiers &amp; Artisanat</t>
        </is>
      </c>
      <c r="J757" s="18" t="n">
        <v>0</v>
      </c>
      <c r="K757" s="18" t="n">
        <v>1</v>
      </c>
      <c r="L757" s="17" t="inlineStr">
        <is>
          <t>09 1181 A</t>
        </is>
      </c>
      <c r="M757" s="17" t="inlineStr">
        <is>
          <t>M TEUIRA TAMATEA KENNY NOE</t>
        </is>
      </c>
      <c r="N757" s="17" t="inlineStr">
        <is>
          <t>Chef d entreprise</t>
        </is>
      </c>
      <c r="O757" s="18" t="inlineStr">
        <is>
          <t>16577</t>
        </is>
      </c>
    </row>
    <row r="758" ht="20" customHeight="1">
      <c r="A758" s="13" t="inlineStr">
        <is>
          <t>PAEA-CCISM-0757</t>
        </is>
      </c>
      <c r="B758" s="13" t="inlineStr">
        <is>
          <t>B02365</t>
        </is>
      </c>
      <c r="C758" s="14" t="inlineStr">
        <is>
          <t>TEUIRA TIMI</t>
        </is>
      </c>
      <c r="D758" s="14" t="inlineStr">
        <is>
          <t>VALLEE OROFERO SERVITUDE TEUIRA 98711 PAEA</t>
        </is>
      </c>
      <c r="E758" s="14" t="inlineStr">
        <is>
          <t>Patenté (Personne Physique)</t>
        </is>
      </c>
      <c r="F758" s="14" t="inlineStr">
        <is>
          <t>Patenté</t>
        </is>
      </c>
      <c r="G758" s="13" t="inlineStr">
        <is>
          <t>4339Z</t>
        </is>
      </c>
      <c r="H758" s="13" t="inlineStr">
        <is>
          <t>M</t>
        </is>
      </c>
      <c r="I758" s="14" t="inlineStr">
        <is>
          <t>Métiers &amp; Artisanat</t>
        </is>
      </c>
      <c r="J758" s="15" t="n">
        <v>0</v>
      </c>
      <c r="K758" s="15" t="n">
        <v>1</v>
      </c>
      <c r="L758" s="14" t="inlineStr">
        <is>
          <t>14 501 A</t>
        </is>
      </c>
      <c r="M758" s="14" t="inlineStr">
        <is>
          <t>M TEUIRA TIMI</t>
        </is>
      </c>
      <c r="N758" s="14" t="inlineStr">
        <is>
          <t>Chef d entreprise</t>
        </is>
      </c>
      <c r="O758" s="15" t="inlineStr">
        <is>
          <t>16583</t>
        </is>
      </c>
    </row>
    <row r="759" ht="20" customHeight="1">
      <c r="A759" s="16" t="inlineStr">
        <is>
          <t>PAEA-CCISM-0758</t>
        </is>
      </c>
      <c r="B759" s="16" t="inlineStr">
        <is>
          <t>B21803</t>
        </is>
      </c>
      <c r="C759" s="17" t="inlineStr">
        <is>
          <t>TEUIRA VETEA</t>
        </is>
      </c>
      <c r="D759" s="17" t="inlineStr">
        <is>
          <t>26,8 COTE MONTAGNE 98711 PAEA</t>
        </is>
      </c>
      <c r="E759" s="17" t="inlineStr">
        <is>
          <t>Patenté (Personne Physique)</t>
        </is>
      </c>
      <c r="F759" s="17" t="inlineStr">
        <is>
          <t>Patenté</t>
        </is>
      </c>
      <c r="G759" s="16" t="inlineStr">
        <is>
          <t>4339Z</t>
        </is>
      </c>
      <c r="H759" s="16" t="inlineStr">
        <is>
          <t>M</t>
        </is>
      </c>
      <c r="I759" s="17" t="inlineStr">
        <is>
          <t>Métiers &amp; Artisanat</t>
        </is>
      </c>
      <c r="J759" s="18" t="n">
        <v>0</v>
      </c>
      <c r="K759" s="18" t="n">
        <v>1</v>
      </c>
      <c r="L759" s="17" t="inlineStr">
        <is>
          <t>19 1259 A</t>
        </is>
      </c>
      <c r="M759" s="17" t="inlineStr">
        <is>
          <t>M TEUIRA VETEA</t>
        </is>
      </c>
      <c r="N759" s="17" t="inlineStr">
        <is>
          <t>Chef d entreprise</t>
        </is>
      </c>
      <c r="O759" s="18" t="inlineStr">
        <is>
          <t>16587</t>
        </is>
      </c>
    </row>
    <row r="760" ht="20" customHeight="1">
      <c r="A760" s="13" t="inlineStr">
        <is>
          <t>PAEA-CCISM-0759</t>
        </is>
      </c>
      <c r="B760" s="13" t="inlineStr">
        <is>
          <t>F45241</t>
        </is>
      </c>
      <c r="C760" s="14" t="inlineStr">
        <is>
          <t>TEURURAI LUCIANO RAIMANO</t>
        </is>
      </c>
      <c r="D760" s="14" t="inlineStr">
        <is>
          <t>23 LOT VAIPUARII 98711 PAEA</t>
        </is>
      </c>
      <c r="E760" s="14" t="inlineStr">
        <is>
          <t>Patenté (Personne Physique)</t>
        </is>
      </c>
      <c r="F760" s="14" t="inlineStr">
        <is>
          <t>Patenté</t>
        </is>
      </c>
      <c r="G760" s="13" t="inlineStr">
        <is>
          <t>4339Z</t>
        </is>
      </c>
      <c r="H760" s="13" t="inlineStr">
        <is>
          <t>M</t>
        </is>
      </c>
      <c r="I760" s="14" t="inlineStr">
        <is>
          <t>Métiers &amp; Artisanat</t>
        </is>
      </c>
      <c r="J760" s="15" t="n">
        <v>0</v>
      </c>
      <c r="K760" s="15" t="n">
        <v>1</v>
      </c>
      <c r="L760" s="14" t="inlineStr">
        <is>
          <t>23 3448 A</t>
        </is>
      </c>
      <c r="M760" s="14" t="inlineStr">
        <is>
          <t>M TEURURAI LUCIANO RAIMANO</t>
        </is>
      </c>
      <c r="N760" s="14" t="inlineStr">
        <is>
          <t>Chef d entreprise</t>
        </is>
      </c>
      <c r="O760" s="15" t="inlineStr">
        <is>
          <t>16633</t>
        </is>
      </c>
    </row>
    <row r="761" ht="20" customHeight="1">
      <c r="A761" s="16" t="inlineStr">
        <is>
          <t>PAEA-CCISM-0760</t>
        </is>
      </c>
      <c r="B761" s="16" t="inlineStr">
        <is>
          <t>B51263</t>
        </is>
      </c>
      <c r="C761" s="17" t="inlineStr">
        <is>
          <t>TEURURAI MARINA</t>
        </is>
      </c>
      <c r="D761" s="17" t="inlineStr">
        <is>
          <t>QTIER DUVALE 98711 PAEA</t>
        </is>
      </c>
      <c r="E761" s="17" t="inlineStr">
        <is>
          <t>Patenté (Personne Physique)</t>
        </is>
      </c>
      <c r="F761" s="17" t="inlineStr">
        <is>
          <t>Patenté</t>
        </is>
      </c>
      <c r="G761" s="16" t="inlineStr">
        <is>
          <t>1413Z</t>
        </is>
      </c>
      <c r="H761" s="16" t="inlineStr">
        <is>
          <t>M</t>
        </is>
      </c>
      <c r="I761" s="17" t="inlineStr">
        <is>
          <t>Métiers &amp; Artisanat</t>
        </is>
      </c>
      <c r="J761" s="18" t="n">
        <v>0</v>
      </c>
      <c r="K761" s="18" t="n">
        <v>1</v>
      </c>
      <c r="L761" s="17" t="inlineStr">
        <is>
          <t>24 1666 A</t>
        </is>
      </c>
      <c r="M761" s="17" t="inlineStr">
        <is>
          <t>Mme TEURURAI MARINA</t>
        </is>
      </c>
      <c r="N761" s="17" t="inlineStr">
        <is>
          <t>Chef d entreprise</t>
        </is>
      </c>
      <c r="O761" s="18" t="inlineStr">
        <is>
          <t>16634</t>
        </is>
      </c>
    </row>
    <row r="762" ht="20" customHeight="1">
      <c r="A762" s="13" t="inlineStr">
        <is>
          <t>PAEA-CCISM-0761</t>
        </is>
      </c>
      <c r="B762" s="13" t="inlineStr">
        <is>
          <t>F93647</t>
        </is>
      </c>
      <c r="C762" s="14" t="inlineStr">
        <is>
          <t>TEVERO TOOMY</t>
        </is>
      </c>
      <c r="D762" s="14" t="inlineStr">
        <is>
          <t>98711 PAEA</t>
        </is>
      </c>
      <c r="E762" s="14" t="inlineStr">
        <is>
          <t>Patenté (Personne Physique)</t>
        </is>
      </c>
      <c r="F762" s="14" t="inlineStr">
        <is>
          <t>Patenté</t>
        </is>
      </c>
      <c r="G762" s="13" t="inlineStr">
        <is>
          <t>1071D</t>
        </is>
      </c>
      <c r="H762" s="13" t="inlineStr">
        <is>
          <t>M</t>
        </is>
      </c>
      <c r="I762" s="14" t="inlineStr">
        <is>
          <t>Métiers &amp; Artisanat</t>
        </is>
      </c>
      <c r="J762" s="15" t="n">
        <v>0</v>
      </c>
      <c r="K762" s="15" t="n">
        <v>1</v>
      </c>
      <c r="L762" s="14" t="inlineStr">
        <is>
          <t>24 1861 A</t>
        </is>
      </c>
      <c r="M762" s="14" t="inlineStr">
        <is>
          <t>M TEVERO TOOMY</t>
        </is>
      </c>
      <c r="N762" s="14" t="inlineStr">
        <is>
          <t>Chef d entreprise</t>
        </is>
      </c>
      <c r="O762" s="15" t="inlineStr">
        <is>
          <t>16660</t>
        </is>
      </c>
    </row>
    <row r="763" ht="20" customHeight="1">
      <c r="A763" s="16" t="inlineStr">
        <is>
          <t>PAEA-CCISM-0762</t>
        </is>
      </c>
      <c r="B763" s="16" t="inlineStr">
        <is>
          <t>596171</t>
        </is>
      </c>
      <c r="C763" s="17" t="inlineStr">
        <is>
          <t>THUAU NEE HARUA CHRISTELLE MARAE</t>
        </is>
      </c>
      <c r="D763" s="17" t="inlineStr">
        <is>
          <t>PARC. D LOT N°2 - TERRE AHIOMARAA 98711 PAEA</t>
        </is>
      </c>
      <c r="E763" s="17" t="inlineStr">
        <is>
          <t>Patenté (Personne Physique)</t>
        </is>
      </c>
      <c r="F763" s="17" t="inlineStr">
        <is>
          <t>Patenté</t>
        </is>
      </c>
      <c r="G763" s="16" t="inlineStr">
        <is>
          <t>1413Z</t>
        </is>
      </c>
      <c r="H763" s="16" t="inlineStr">
        <is>
          <t>M</t>
        </is>
      </c>
      <c r="I763" s="17" t="inlineStr">
        <is>
          <t>Métiers &amp; Artisanat</t>
        </is>
      </c>
      <c r="J763" s="18" t="n">
        <v>0</v>
      </c>
      <c r="K763" s="18" t="n">
        <v>1</v>
      </c>
      <c r="L763" s="17" t="inlineStr">
        <is>
          <t>17 1314 A</t>
        </is>
      </c>
      <c r="M763" s="17" t="inlineStr">
        <is>
          <t>Mme THUAU (Née HARUA) CHRISTELLE MARAE</t>
        </is>
      </c>
      <c r="N763" s="17" t="inlineStr">
        <is>
          <t>Chef d entreprise</t>
        </is>
      </c>
      <c r="O763" s="18" t="inlineStr">
        <is>
          <t>16691</t>
        </is>
      </c>
    </row>
    <row r="764" ht="20" customHeight="1">
      <c r="A764" s="13" t="inlineStr">
        <is>
          <t>PAEA-CCISM-0763</t>
        </is>
      </c>
      <c r="B764" s="13" t="inlineStr">
        <is>
          <t>636670</t>
        </is>
      </c>
      <c r="C764" s="14" t="inlineStr">
        <is>
          <t>TIALETAGI EMILE</t>
        </is>
      </c>
      <c r="D764" s="14" t="inlineStr">
        <is>
          <t>98711 PAEA</t>
        </is>
      </c>
      <c r="E764" s="14" t="inlineStr">
        <is>
          <t>Patenté (Personne Physique)</t>
        </is>
      </c>
      <c r="F764" s="14" t="inlineStr">
        <is>
          <t>Patenté</t>
        </is>
      </c>
      <c r="G764" s="13" t="inlineStr">
        <is>
          <t>4399C</t>
        </is>
      </c>
      <c r="H764" s="13" t="inlineStr">
        <is>
          <t>M</t>
        </is>
      </c>
      <c r="I764" s="14" t="inlineStr">
        <is>
          <t>Métiers &amp; Artisanat</t>
        </is>
      </c>
      <c r="J764" s="15" t="n">
        <v>0</v>
      </c>
      <c r="K764" s="15" t="n">
        <v>1</v>
      </c>
      <c r="L764" s="14" t="inlineStr">
        <is>
          <t>19 2664 A</t>
        </is>
      </c>
      <c r="M764" s="14" t="inlineStr">
        <is>
          <t>M TIALETAGI EMILE</t>
        </is>
      </c>
      <c r="N764" s="14" t="inlineStr">
        <is>
          <t>Chef d entreprise</t>
        </is>
      </c>
      <c r="O764" s="15" t="inlineStr">
        <is>
          <t>16717</t>
        </is>
      </c>
    </row>
    <row r="765" ht="20" customHeight="1">
      <c r="A765" s="16" t="inlineStr">
        <is>
          <t>PAEA-CCISM-0764</t>
        </is>
      </c>
      <c r="B765" s="16" t="inlineStr">
        <is>
          <t>A20047</t>
        </is>
      </c>
      <c r="C765" s="17" t="inlineStr">
        <is>
          <t>TIARE NEE TEINAURI TARUE</t>
        </is>
      </c>
      <c r="D765" s="17" t="inlineStr">
        <is>
          <t>PAEA VALLEE OROFERO 98711 PAEA</t>
        </is>
      </c>
      <c r="E765" s="17" t="inlineStr">
        <is>
          <t>Patenté (Personne Physique)</t>
        </is>
      </c>
      <c r="F765" s="17" t="inlineStr">
        <is>
          <t>Patenté</t>
        </is>
      </c>
      <c r="G765" s="16" t="inlineStr">
        <is>
          <t>3299Z</t>
        </is>
      </c>
      <c r="H765" s="16" t="inlineStr">
        <is>
          <t>M</t>
        </is>
      </c>
      <c r="I765" s="17" t="inlineStr">
        <is>
          <t>Métiers &amp; Artisanat</t>
        </is>
      </c>
      <c r="J765" s="18" t="n">
        <v>0</v>
      </c>
      <c r="K765" s="18" t="n">
        <v>1</v>
      </c>
      <c r="L765" s="17" t="inlineStr">
        <is>
          <t>12 433 A</t>
        </is>
      </c>
      <c r="M765" s="17" t="inlineStr">
        <is>
          <t>Mme TIARE (Née TEINAURI) TARUE</t>
        </is>
      </c>
      <c r="N765" s="17" t="inlineStr">
        <is>
          <t>Chef d entreprise</t>
        </is>
      </c>
      <c r="O765" s="18" t="inlineStr">
        <is>
          <t>16733</t>
        </is>
      </c>
    </row>
    <row r="766" ht="20" customHeight="1">
      <c r="A766" s="13" t="inlineStr">
        <is>
          <t>PAEA-CCISM-0765</t>
        </is>
      </c>
      <c r="B766" s="13" t="inlineStr">
        <is>
          <t>E97780</t>
        </is>
      </c>
      <c r="C766" s="14" t="inlineStr">
        <is>
          <t>TIHONI LESLIE</t>
        </is>
      </c>
      <c r="D766" s="14" t="inlineStr">
        <is>
          <t>PRES MAGASIN TAREVAREVA 98711 PAEA</t>
        </is>
      </c>
      <c r="E766" s="14" t="inlineStr">
        <is>
          <t>Patenté (Personne Physique)</t>
        </is>
      </c>
      <c r="F766" s="14" t="inlineStr">
        <is>
          <t>Patenté</t>
        </is>
      </c>
      <c r="G766" s="13" t="inlineStr">
        <is>
          <t>9602B</t>
        </is>
      </c>
      <c r="H766" s="13" t="inlineStr">
        <is>
          <t>M</t>
        </is>
      </c>
      <c r="I766" s="14" t="inlineStr">
        <is>
          <t>Métiers &amp; Artisanat</t>
        </is>
      </c>
      <c r="J766" s="15" t="n">
        <v>0</v>
      </c>
      <c r="K766" s="15" t="n">
        <v>1</v>
      </c>
      <c r="L766" s="14" t="inlineStr">
        <is>
          <t>22 2659 A</t>
        </is>
      </c>
      <c r="M766" s="14" t="inlineStr">
        <is>
          <t>Mme TIHONI LESLIE</t>
        </is>
      </c>
      <c r="N766" s="14" t="inlineStr">
        <is>
          <t>Chef d entreprise</t>
        </is>
      </c>
      <c r="O766" s="15" t="inlineStr">
        <is>
          <t>16762</t>
        </is>
      </c>
    </row>
    <row r="767" ht="20" customHeight="1">
      <c r="A767" s="16" t="inlineStr">
        <is>
          <t>PAEA-CCISM-0766</t>
        </is>
      </c>
      <c r="B767" s="16" t="inlineStr">
        <is>
          <t>355073</t>
        </is>
      </c>
      <c r="C767" s="17" t="inlineStr">
        <is>
          <t>TIMOTEO MARIANINA TEURA</t>
        </is>
      </c>
      <c r="D767" s="17" t="inlineStr">
        <is>
          <t>26 RTE DU LOTISSEMENT PAPEHUE APRES PENSION TE MITI 98711 PAEA</t>
        </is>
      </c>
      <c r="E767" s="17" t="inlineStr">
        <is>
          <t>Patenté (Personne Physique)</t>
        </is>
      </c>
      <c r="F767" s="17" t="inlineStr">
        <is>
          <t>Patenté</t>
        </is>
      </c>
      <c r="G767" s="16" t="inlineStr">
        <is>
          <t>9602A</t>
        </is>
      </c>
      <c r="H767" s="16" t="inlineStr">
        <is>
          <t>M</t>
        </is>
      </c>
      <c r="I767" s="17" t="inlineStr">
        <is>
          <t>Métiers &amp; Artisanat</t>
        </is>
      </c>
      <c r="J767" s="18" t="n">
        <v>0</v>
      </c>
      <c r="K767" s="18" t="n">
        <v>1</v>
      </c>
      <c r="L767" s="17" t="inlineStr">
        <is>
          <t>16 2746 A</t>
        </is>
      </c>
      <c r="M767" s="17" t="inlineStr">
        <is>
          <t>Mme TIMOTEO MARIANINA TEURA</t>
        </is>
      </c>
      <c r="N767" s="17" t="inlineStr">
        <is>
          <t>Chef d entreprise</t>
        </is>
      </c>
      <c r="O767" s="18" t="inlineStr">
        <is>
          <t>16811</t>
        </is>
      </c>
    </row>
    <row r="768" ht="20" customHeight="1">
      <c r="A768" s="13" t="inlineStr">
        <is>
          <t>PAEA-CCISM-0767</t>
        </is>
      </c>
      <c r="B768" s="13" t="inlineStr">
        <is>
          <t>B78282</t>
        </is>
      </c>
      <c r="C768" s="14" t="inlineStr">
        <is>
          <t>TINA TEVAITE</t>
        </is>
      </c>
      <c r="D768" s="14" t="inlineStr">
        <is>
          <t>SERV CADOUSTEAU 98711 PAEA</t>
        </is>
      </c>
      <c r="E768" s="14" t="inlineStr">
        <is>
          <t>Patenté (Personne Physique)</t>
        </is>
      </c>
      <c r="F768" s="14" t="inlineStr">
        <is>
          <t>Patenté</t>
        </is>
      </c>
      <c r="G768" s="13" t="inlineStr">
        <is>
          <t>4339Z</t>
        </is>
      </c>
      <c r="H768" s="13" t="inlineStr">
        <is>
          <t>M</t>
        </is>
      </c>
      <c r="I768" s="14" t="inlineStr">
        <is>
          <t>Métiers &amp; Artisanat</t>
        </is>
      </c>
      <c r="J768" s="15" t="n">
        <v>0</v>
      </c>
      <c r="K768" s="15" t="n">
        <v>1</v>
      </c>
      <c r="L768" s="14" t="inlineStr">
        <is>
          <t>16 138 A</t>
        </is>
      </c>
      <c r="M768" s="14" t="inlineStr">
        <is>
          <t>Mme TINA TEVAITE</t>
        </is>
      </c>
      <c r="N768" s="14" t="inlineStr">
        <is>
          <t>Chef d entreprise</t>
        </is>
      </c>
      <c r="O768" s="15" t="inlineStr">
        <is>
          <t>16814</t>
        </is>
      </c>
    </row>
    <row r="769" ht="20" customHeight="1">
      <c r="A769" s="16" t="inlineStr">
        <is>
          <t>PAEA-CCISM-0768</t>
        </is>
      </c>
      <c r="B769" s="16" t="inlineStr">
        <is>
          <t>F20251</t>
        </is>
      </c>
      <c r="C769" s="17" t="inlineStr">
        <is>
          <t>TIORI TAINUI</t>
        </is>
      </c>
      <c r="D769" s="17" t="inlineStr">
        <is>
          <t>PK 19.800 CÔTÉ MONTAGNE 98711 PAEA</t>
        </is>
      </c>
      <c r="E769" s="17" t="inlineStr">
        <is>
          <t>Patenté (Personne Physique)</t>
        </is>
      </c>
      <c r="F769" s="17" t="inlineStr">
        <is>
          <t>Patenté</t>
        </is>
      </c>
      <c r="G769" s="16" t="inlineStr">
        <is>
          <t>4339Z</t>
        </is>
      </c>
      <c r="H769" s="16" t="inlineStr">
        <is>
          <t>M</t>
        </is>
      </c>
      <c r="I769" s="17" t="inlineStr">
        <is>
          <t>Métiers &amp; Artisanat</t>
        </is>
      </c>
      <c r="J769" s="18" t="n">
        <v>0</v>
      </c>
      <c r="K769" s="18" t="n">
        <v>1</v>
      </c>
      <c r="L769" s="17" t="inlineStr">
        <is>
          <t>22 481 A</t>
        </is>
      </c>
      <c r="M769" s="17" t="inlineStr">
        <is>
          <t>M TIORI TAINUI</t>
        </is>
      </c>
      <c r="N769" s="17" t="inlineStr">
        <is>
          <t>Chef d entreprise</t>
        </is>
      </c>
      <c r="O769" s="18" t="inlineStr">
        <is>
          <t>16864</t>
        </is>
      </c>
    </row>
    <row r="770" ht="20" customHeight="1">
      <c r="A770" s="13" t="inlineStr">
        <is>
          <t>PAEA-CCISM-0769</t>
        </is>
      </c>
      <c r="B770" s="13" t="inlineStr">
        <is>
          <t>461277</t>
        </is>
      </c>
      <c r="C770" s="14" t="inlineStr">
        <is>
          <t>TITIHAURI TAURAATUA, TATI</t>
        </is>
      </c>
      <c r="D770" s="14" t="inlineStr">
        <is>
          <t>PAEA PK 21 C/MONT - SERV. MERCIER 98711 PAEA</t>
        </is>
      </c>
      <c r="E770" s="14" t="inlineStr">
        <is>
          <t>Patenté (Personne Physique)</t>
        </is>
      </c>
      <c r="F770" s="14" t="inlineStr">
        <is>
          <t>Patenté</t>
        </is>
      </c>
      <c r="G770" s="13" t="inlineStr">
        <is>
          <t>8130Z</t>
        </is>
      </c>
      <c r="H770" s="13" t="inlineStr">
        <is>
          <t>M</t>
        </is>
      </c>
      <c r="I770" s="14" t="inlineStr">
        <is>
          <t>Métiers &amp; Artisanat</t>
        </is>
      </c>
      <c r="J770" s="15" t="n">
        <v>0</v>
      </c>
      <c r="K770" s="15" t="n">
        <v>1</v>
      </c>
      <c r="L770" s="14" t="inlineStr">
        <is>
          <t>10 453 A</t>
        </is>
      </c>
      <c r="M770" s="14" t="inlineStr">
        <is>
          <t>M TITIHAURI TAURAATUA, TATI</t>
        </is>
      </c>
      <c r="N770" s="14" t="inlineStr">
        <is>
          <t>Chef d entreprise</t>
        </is>
      </c>
      <c r="O770" s="15" t="inlineStr">
        <is>
          <t>16880</t>
        </is>
      </c>
    </row>
    <row r="771" ht="20" customHeight="1">
      <c r="A771" s="16" t="inlineStr">
        <is>
          <t>PAEA-CCISM-0770</t>
        </is>
      </c>
      <c r="B771" s="16" t="inlineStr">
        <is>
          <t>507624</t>
        </is>
      </c>
      <c r="C771" s="17" t="inlineStr">
        <is>
          <t>TOATITI VETEA</t>
        </is>
      </c>
      <c r="D771" s="17" t="inlineStr">
        <is>
          <t>VALLEE OROFERO 98711 PAEA</t>
        </is>
      </c>
      <c r="E771" s="17" t="inlineStr">
        <is>
          <t>Patenté (Personne Physique)</t>
        </is>
      </c>
      <c r="F771" s="17" t="inlineStr">
        <is>
          <t>Patenté</t>
        </is>
      </c>
      <c r="G771" s="16" t="inlineStr">
        <is>
          <t>1413Z</t>
        </is>
      </c>
      <c r="H771" s="16" t="inlineStr">
        <is>
          <t>M</t>
        </is>
      </c>
      <c r="I771" s="17" t="inlineStr">
        <is>
          <t>Métiers &amp; Artisanat</t>
        </is>
      </c>
      <c r="J771" s="18" t="n">
        <v>0</v>
      </c>
      <c r="K771" s="18" t="n">
        <v>1</v>
      </c>
      <c r="L771" s="17" t="inlineStr">
        <is>
          <t>21 2370 A</t>
        </is>
      </c>
      <c r="M771" s="17" t="inlineStr">
        <is>
          <t>M TOATITI VETEA</t>
        </is>
      </c>
      <c r="N771" s="17" t="inlineStr">
        <is>
          <t>Chef d entreprise</t>
        </is>
      </c>
      <c r="O771" s="18" t="inlineStr">
        <is>
          <t>16902</t>
        </is>
      </c>
    </row>
    <row r="772" ht="20" customHeight="1">
      <c r="A772" s="13" t="inlineStr">
        <is>
          <t>PAEA-CCISM-0771</t>
        </is>
      </c>
      <c r="B772" s="13" t="inlineStr">
        <is>
          <t>D51533</t>
        </is>
      </c>
      <c r="C772" s="14" t="inlineStr">
        <is>
          <t>TOHUTIKA FRANCKY</t>
        </is>
      </c>
      <c r="D772" s="14" t="inlineStr">
        <is>
          <t>SERV FROGIER PK 21.500 C/MONT 98711 PAEA</t>
        </is>
      </c>
      <c r="E772" s="14" t="inlineStr">
        <is>
          <t>Patenté (Personne Physique)</t>
        </is>
      </c>
      <c r="F772" s="14" t="inlineStr">
        <is>
          <t>Patenté</t>
        </is>
      </c>
      <c r="G772" s="13" t="inlineStr">
        <is>
          <t>4339Z</t>
        </is>
      </c>
      <c r="H772" s="13" t="inlineStr">
        <is>
          <t>M</t>
        </is>
      </c>
      <c r="I772" s="14" t="inlineStr">
        <is>
          <t>Métiers &amp; Artisanat</t>
        </is>
      </c>
      <c r="J772" s="15" t="n">
        <v>0</v>
      </c>
      <c r="K772" s="15" t="n">
        <v>1</v>
      </c>
      <c r="L772" s="14" t="inlineStr">
        <is>
          <t>19 3129 A</t>
        </is>
      </c>
      <c r="M772" s="14" t="inlineStr">
        <is>
          <t>M TOHUTIKA FRANCKY</t>
        </is>
      </c>
      <c r="N772" s="14" t="inlineStr">
        <is>
          <t>Chef d entreprise</t>
        </is>
      </c>
      <c r="O772" s="15" t="inlineStr">
        <is>
          <t>16909</t>
        </is>
      </c>
    </row>
    <row r="773" ht="20" customHeight="1">
      <c r="A773" s="16" t="inlineStr">
        <is>
          <t>PAEA-CCISM-0772</t>
        </is>
      </c>
      <c r="B773" s="16" t="inlineStr">
        <is>
          <t>138081</t>
        </is>
      </c>
      <c r="C773" s="17" t="inlineStr">
        <is>
          <t>TONIO ANTHONY TITA</t>
        </is>
      </c>
      <c r="D773" s="17" t="inlineStr">
        <is>
          <t>VAL DE OROFERO 98711 PAEA</t>
        </is>
      </c>
      <c r="E773" s="17" t="inlineStr">
        <is>
          <t>Patenté (Personne Physique)</t>
        </is>
      </c>
      <c r="F773" s="17" t="inlineStr">
        <is>
          <t>Patenté</t>
        </is>
      </c>
      <c r="G773" s="16" t="inlineStr">
        <is>
          <t>1082Z</t>
        </is>
      </c>
      <c r="H773" s="16" t="inlineStr">
        <is>
          <t>M</t>
        </is>
      </c>
      <c r="I773" s="17" t="inlineStr">
        <is>
          <t>Métiers &amp; Artisanat</t>
        </is>
      </c>
      <c r="J773" s="18" t="n">
        <v>0</v>
      </c>
      <c r="K773" s="18" t="n">
        <v>1</v>
      </c>
      <c r="L773" s="17" t="inlineStr">
        <is>
          <t>17 2442 A</t>
        </is>
      </c>
      <c r="M773" s="17" t="inlineStr">
        <is>
          <t>M CHARLES ANTHONY TITA</t>
        </is>
      </c>
      <c r="N773" s="17" t="inlineStr">
        <is>
          <t>Chef d entreprise</t>
        </is>
      </c>
      <c r="O773" s="18" t="inlineStr">
        <is>
          <t>16942</t>
        </is>
      </c>
    </row>
    <row r="774" ht="20" customHeight="1">
      <c r="A774" s="13" t="inlineStr">
        <is>
          <t>PAEA-CCISM-0773</t>
        </is>
      </c>
      <c r="B774" s="13" t="inlineStr">
        <is>
          <t>339424</t>
        </is>
      </c>
      <c r="C774" s="14" t="inlineStr">
        <is>
          <t>TOOFA CAROLE</t>
        </is>
      </c>
      <c r="D774" s="14" t="inlineStr">
        <is>
          <t>RESIDENCE LES JARDINS DE PAEA 98711 PAEA</t>
        </is>
      </c>
      <c r="E774" s="14" t="inlineStr">
        <is>
          <t>Patenté (Personne Physique)</t>
        </is>
      </c>
      <c r="F774" s="14" t="inlineStr">
        <is>
          <t>Patenté</t>
        </is>
      </c>
      <c r="G774" s="13" t="inlineStr">
        <is>
          <t>4520A</t>
        </is>
      </c>
      <c r="H774" s="13" t="inlineStr">
        <is>
          <t>M</t>
        </is>
      </c>
      <c r="I774" s="14" t="inlineStr">
        <is>
          <t>Métiers &amp; Artisanat</t>
        </is>
      </c>
      <c r="J774" s="15" t="n">
        <v>0</v>
      </c>
      <c r="K774" s="15" t="n">
        <v>1</v>
      </c>
      <c r="L774" s="14" t="inlineStr">
        <is>
          <t>13 1430 A</t>
        </is>
      </c>
      <c r="M774" s="14" t="inlineStr">
        <is>
          <t>Mme TOOFA CAROLE</t>
        </is>
      </c>
      <c r="N774" s="14" t="inlineStr">
        <is>
          <t>Chef d entreprise</t>
        </is>
      </c>
      <c r="O774" s="15" t="inlineStr">
        <is>
          <t>16946</t>
        </is>
      </c>
    </row>
    <row r="775" ht="20" customHeight="1">
      <c r="A775" s="16" t="inlineStr">
        <is>
          <t>PAEA-CCISM-0774</t>
        </is>
      </c>
      <c r="B775" s="16" t="inlineStr">
        <is>
          <t>B08057</t>
        </is>
      </c>
      <c r="C775" s="17" t="inlineStr">
        <is>
          <t>TOOFA NEE TERAITURI STELLA</t>
        </is>
      </c>
      <c r="D775" s="17" t="inlineStr">
        <is>
          <t>98711 PAEA</t>
        </is>
      </c>
      <c r="E775" s="17" t="inlineStr">
        <is>
          <t>Patenté (Personne Physique)</t>
        </is>
      </c>
      <c r="F775" s="17" t="inlineStr">
        <is>
          <t>Patenté</t>
        </is>
      </c>
      <c r="G775" s="16" t="inlineStr">
        <is>
          <t>9522Z</t>
        </is>
      </c>
      <c r="H775" s="16" t="inlineStr">
        <is>
          <t>M</t>
        </is>
      </c>
      <c r="I775" s="17" t="inlineStr">
        <is>
          <t>Métiers &amp; Artisanat</t>
        </is>
      </c>
      <c r="J775" s="18" t="n">
        <v>0</v>
      </c>
      <c r="K775" s="18" t="n">
        <v>1</v>
      </c>
      <c r="L775" s="17" t="inlineStr">
        <is>
          <t>14 844 A</t>
        </is>
      </c>
      <c r="M775" s="17" t="inlineStr">
        <is>
          <t>Mme TOOFA (Née TERAITURI) STELLA</t>
        </is>
      </c>
      <c r="N775" s="17" t="inlineStr">
        <is>
          <t>Chef d entreprise</t>
        </is>
      </c>
      <c r="O775" s="18" t="inlineStr">
        <is>
          <t>16952</t>
        </is>
      </c>
    </row>
    <row r="776" ht="20" customHeight="1">
      <c r="A776" s="13" t="inlineStr">
        <is>
          <t>PAEA-CCISM-0775</t>
        </is>
      </c>
      <c r="B776" s="13" t="inlineStr">
        <is>
          <t>D87149</t>
        </is>
      </c>
      <c r="C776" s="14" t="inlineStr">
        <is>
          <t>TOOFA STEVEN ARAITUA</t>
        </is>
      </c>
      <c r="D776" s="14" t="inlineStr">
        <is>
          <t>98711 PAEA</t>
        </is>
      </c>
      <c r="E776" s="14" t="inlineStr">
        <is>
          <t>Patenté (Personne Physique)</t>
        </is>
      </c>
      <c r="F776" s="14" t="inlineStr">
        <is>
          <t>Patenté</t>
        </is>
      </c>
      <c r="G776" s="13" t="inlineStr">
        <is>
          <t>4339Z</t>
        </is>
      </c>
      <c r="H776" s="13" t="inlineStr">
        <is>
          <t>M</t>
        </is>
      </c>
      <c r="I776" s="14" t="inlineStr">
        <is>
          <t>Métiers &amp; Artisanat</t>
        </is>
      </c>
      <c r="J776" s="15" t="n">
        <v>0</v>
      </c>
      <c r="K776" s="15" t="n">
        <v>1</v>
      </c>
      <c r="L776" s="14" t="inlineStr">
        <is>
          <t>20 1853 A</t>
        </is>
      </c>
      <c r="M776" s="14" t="inlineStr">
        <is>
          <t>M TOOFA STEVEN ARAITUA</t>
        </is>
      </c>
      <c r="N776" s="14" t="inlineStr">
        <is>
          <t>Chef d entreprise</t>
        </is>
      </c>
      <c r="O776" s="15" t="inlineStr">
        <is>
          <t>16957</t>
        </is>
      </c>
    </row>
    <row r="777" ht="20" customHeight="1">
      <c r="A777" s="16" t="inlineStr">
        <is>
          <t>PAEA-CCISM-0776</t>
        </is>
      </c>
      <c r="B777" s="16" t="inlineStr">
        <is>
          <t>A27216</t>
        </is>
      </c>
      <c r="C777" s="17" t="inlineStr">
        <is>
          <t>TOOFA WILFRID</t>
        </is>
      </c>
      <c r="D777" s="17" t="inlineStr">
        <is>
          <t>VALLEE DE OROFERO 98711 PAEA</t>
        </is>
      </c>
      <c r="E777" s="17" t="inlineStr">
        <is>
          <t>Patenté (Personne Physique)</t>
        </is>
      </c>
      <c r="F777" s="17" t="inlineStr">
        <is>
          <t>Patenté</t>
        </is>
      </c>
      <c r="G777" s="16" t="inlineStr">
        <is>
          <t>3299Z</t>
        </is>
      </c>
      <c r="H777" s="16" t="inlineStr">
        <is>
          <t>M</t>
        </is>
      </c>
      <c r="I777" s="17" t="inlineStr">
        <is>
          <t>Métiers &amp; Artisanat</t>
        </is>
      </c>
      <c r="J777" s="18" t="n">
        <v>0</v>
      </c>
      <c r="K777" s="18" t="n">
        <v>1</v>
      </c>
      <c r="L777" s="17" t="inlineStr">
        <is>
          <t>24 1125 A</t>
        </is>
      </c>
      <c r="M777" s="17" t="inlineStr">
        <is>
          <t>M TOOFA WILFRID</t>
        </is>
      </c>
      <c r="N777" s="17" t="inlineStr">
        <is>
          <t>Chef d entreprise</t>
        </is>
      </c>
      <c r="O777" s="18" t="inlineStr">
        <is>
          <t>16958</t>
        </is>
      </c>
    </row>
    <row r="778" ht="20" customHeight="1">
      <c r="A778" s="13" t="inlineStr">
        <is>
          <t>PAEA-CCISM-0777</t>
        </is>
      </c>
      <c r="B778" s="13" t="inlineStr">
        <is>
          <t>B52527</t>
        </is>
      </c>
      <c r="C778" s="14" t="inlineStr">
        <is>
          <t>TOROMONA CYRILLE</t>
        </is>
      </c>
      <c r="D778" s="14" t="inlineStr">
        <is>
          <t>SERVITUDE APUARII 98711 PAEA</t>
        </is>
      </c>
      <c r="E778" s="14" t="inlineStr">
        <is>
          <t>Patenté (Personne Physique)</t>
        </is>
      </c>
      <c r="F778" s="14" t="inlineStr">
        <is>
          <t>Patenté</t>
        </is>
      </c>
      <c r="G778" s="13" t="inlineStr">
        <is>
          <t>8130Z</t>
        </is>
      </c>
      <c r="H778" s="13" t="inlineStr">
        <is>
          <t>M</t>
        </is>
      </c>
      <c r="I778" s="14" t="inlineStr">
        <is>
          <t>Métiers &amp; Artisanat</t>
        </is>
      </c>
      <c r="J778" s="15" t="n">
        <v>0</v>
      </c>
      <c r="K778" s="15" t="n">
        <v>1</v>
      </c>
      <c r="L778" s="14" t="inlineStr">
        <is>
          <t>15 1298 A</t>
        </is>
      </c>
      <c r="M778" s="14" t="inlineStr">
        <is>
          <t>M TOROMONA CYRILLE</t>
        </is>
      </c>
      <c r="N778" s="14" t="inlineStr">
        <is>
          <t>Chef d entreprise</t>
        </is>
      </c>
      <c r="O778" s="15" t="inlineStr">
        <is>
          <t>16982</t>
        </is>
      </c>
    </row>
    <row r="779" ht="20" customHeight="1">
      <c r="A779" s="16" t="inlineStr">
        <is>
          <t>PAEA-CCISM-0778</t>
        </is>
      </c>
      <c r="B779" s="16" t="inlineStr">
        <is>
          <t>580480</t>
        </is>
      </c>
      <c r="C779" s="17" t="inlineStr">
        <is>
          <t>TOUAITAHUATA NEE TUIHANI TEARERE</t>
        </is>
      </c>
      <c r="D779" s="17" t="inlineStr">
        <is>
          <t>PAEA PK 22.800 C/MONT - LOTISS BALDWIN 98711 PAEA</t>
        </is>
      </c>
      <c r="E779" s="17" t="inlineStr">
        <is>
          <t>Patenté (Personne Physique)</t>
        </is>
      </c>
      <c r="F779" s="17" t="inlineStr">
        <is>
          <t>Patenté</t>
        </is>
      </c>
      <c r="G779" s="16" t="inlineStr">
        <is>
          <t>8121Z</t>
        </is>
      </c>
      <c r="H779" s="16" t="inlineStr">
        <is>
          <t>M</t>
        </is>
      </c>
      <c r="I779" s="17" t="inlineStr">
        <is>
          <t>Métiers &amp; Artisanat</t>
        </is>
      </c>
      <c r="J779" s="18" t="n">
        <v>0</v>
      </c>
      <c r="K779" s="18" t="n">
        <v>1</v>
      </c>
      <c r="L779" s="17" t="inlineStr">
        <is>
          <t>11 1969 A</t>
        </is>
      </c>
      <c r="M779" s="17" t="inlineStr">
        <is>
          <t>Mme TOUAITAHUATA (Née TUIHANI) TEARERE</t>
        </is>
      </c>
      <c r="N779" s="17" t="inlineStr">
        <is>
          <t>Chef d entreprise</t>
        </is>
      </c>
      <c r="O779" s="18" t="inlineStr">
        <is>
          <t>16995</t>
        </is>
      </c>
    </row>
    <row r="780" ht="20" customHeight="1">
      <c r="A780" s="13" t="inlineStr">
        <is>
          <t>PAEA-CCISM-0779</t>
        </is>
      </c>
      <c r="B780" s="13" t="inlineStr">
        <is>
          <t>972455</t>
        </is>
      </c>
      <c r="C780" s="14" t="inlineStr">
        <is>
          <t>TRADING &amp; BUILDING</t>
        </is>
      </c>
      <c r="D780" s="14" t="inlineStr">
        <is>
          <t>PAEA PK 24.600 C/MONT - LOTIS VAITIARE 98711 PAEA</t>
        </is>
      </c>
      <c r="E780" s="14" t="inlineStr">
        <is>
          <t>SARL</t>
        </is>
      </c>
      <c r="F780" s="14" t="inlineStr">
        <is>
          <t>Société</t>
        </is>
      </c>
      <c r="G780" s="13" t="inlineStr">
        <is>
          <t>4120B</t>
        </is>
      </c>
      <c r="H780" s="13" t="inlineStr">
        <is>
          <t>M</t>
        </is>
      </c>
      <c r="I780" s="14" t="inlineStr">
        <is>
          <t>Métiers &amp; Artisanat</t>
        </is>
      </c>
      <c r="J780" s="15" t="n">
        <v>0</v>
      </c>
      <c r="K780" s="15" t="n">
        <v>1</v>
      </c>
      <c r="L780" s="14" t="inlineStr">
        <is>
          <t>11 18 B</t>
        </is>
      </c>
      <c r="M780" s="14" t="inlineStr">
        <is>
          <t>M HUCK CHARLES TEIVA GLENN</t>
        </is>
      </c>
      <c r="N780" s="14" t="inlineStr"/>
      <c r="O780" s="15" t="inlineStr">
        <is>
          <t>17013</t>
        </is>
      </c>
    </row>
    <row r="781" ht="20" customHeight="1">
      <c r="A781" s="16" t="inlineStr">
        <is>
          <t>PAEA-CCISM-0780</t>
        </is>
      </c>
      <c r="B781" s="16" t="inlineStr">
        <is>
          <t>B94057</t>
        </is>
      </c>
      <c r="C781" s="17" t="inlineStr">
        <is>
          <t>TUAIVA KAHIALANI</t>
        </is>
      </c>
      <c r="D781" s="17" t="inlineStr">
        <is>
          <t>SERV FROGIER 98711 PAEA</t>
        </is>
      </c>
      <c r="E781" s="17" t="inlineStr">
        <is>
          <t>Patenté (Personne Physique)</t>
        </is>
      </c>
      <c r="F781" s="17" t="inlineStr">
        <is>
          <t>Patenté</t>
        </is>
      </c>
      <c r="G781" s="16" t="inlineStr">
        <is>
          <t>9602B</t>
        </is>
      </c>
      <c r="H781" s="16" t="inlineStr">
        <is>
          <t>M</t>
        </is>
      </c>
      <c r="I781" s="17" t="inlineStr">
        <is>
          <t>Métiers &amp; Artisanat</t>
        </is>
      </c>
      <c r="J781" s="18" t="n">
        <v>0</v>
      </c>
      <c r="K781" s="18" t="n">
        <v>1</v>
      </c>
      <c r="L781" s="17" t="inlineStr">
        <is>
          <t>24 719 A</t>
        </is>
      </c>
      <c r="M781" s="17" t="inlineStr">
        <is>
          <t>Mme TUAIVA KAHIALANI</t>
        </is>
      </c>
      <c r="N781" s="17" t="inlineStr">
        <is>
          <t>Chef d entreprise</t>
        </is>
      </c>
      <c r="O781" s="18" t="inlineStr">
        <is>
          <t>17083</t>
        </is>
      </c>
    </row>
    <row r="782" ht="20" customHeight="1">
      <c r="A782" s="13" t="inlineStr">
        <is>
          <t>PAEA-CCISM-0781</t>
        </is>
      </c>
      <c r="B782" s="13" t="inlineStr">
        <is>
          <t>A95908</t>
        </is>
      </c>
      <c r="C782" s="14" t="inlineStr">
        <is>
          <t>TUERA-REY MARC</t>
        </is>
      </c>
      <c r="D782" s="14" t="inlineStr">
        <is>
          <t>LOT BALDWIN 98711 PAEA</t>
        </is>
      </c>
      <c r="E782" s="14" t="inlineStr">
        <is>
          <t>Patenté (Personne Physique)</t>
        </is>
      </c>
      <c r="F782" s="14" t="inlineStr">
        <is>
          <t>Patenté</t>
        </is>
      </c>
      <c r="G782" s="13" t="inlineStr">
        <is>
          <t>4120B</t>
        </is>
      </c>
      <c r="H782" s="13" t="inlineStr">
        <is>
          <t>M</t>
        </is>
      </c>
      <c r="I782" s="14" t="inlineStr">
        <is>
          <t>Métiers &amp; Artisanat</t>
        </is>
      </c>
      <c r="J782" s="15" t="n">
        <v>0</v>
      </c>
      <c r="K782" s="15" t="n">
        <v>1</v>
      </c>
      <c r="L782" s="14" t="inlineStr">
        <is>
          <t>14 166 A</t>
        </is>
      </c>
      <c r="M782" s="14" t="inlineStr">
        <is>
          <t>M TUERA-REY MARC</t>
        </is>
      </c>
      <c r="N782" s="14" t="inlineStr">
        <is>
          <t>Chef d entreprise</t>
        </is>
      </c>
      <c r="O782" s="15" t="inlineStr">
        <is>
          <t>17097</t>
        </is>
      </c>
    </row>
    <row r="783" ht="20" customHeight="1">
      <c r="A783" s="16" t="inlineStr">
        <is>
          <t>PAEA-CCISM-0782</t>
        </is>
      </c>
      <c r="B783" s="16" t="inlineStr">
        <is>
          <t>496877</t>
        </is>
      </c>
      <c r="C783" s="17" t="inlineStr">
        <is>
          <t>TUFARIUA COLETTE HIRIATA</t>
        </is>
      </c>
      <c r="D783" s="17" t="inlineStr">
        <is>
          <t>PAEA PK 20.500 C/MONT - LOTIS.CPS N°40 98711 PAEA</t>
        </is>
      </c>
      <c r="E783" s="17" t="inlineStr">
        <is>
          <t>Patenté (Personne Physique)</t>
        </is>
      </c>
      <c r="F783" s="17" t="inlineStr">
        <is>
          <t>Patenté</t>
        </is>
      </c>
      <c r="G783" s="16" t="inlineStr">
        <is>
          <t>8121Z</t>
        </is>
      </c>
      <c r="H783" s="16" t="inlineStr">
        <is>
          <t>M</t>
        </is>
      </c>
      <c r="I783" s="17" t="inlineStr">
        <is>
          <t>Métiers &amp; Artisanat</t>
        </is>
      </c>
      <c r="J783" s="18" t="n">
        <v>0</v>
      </c>
      <c r="K783" s="18" t="n">
        <v>1</v>
      </c>
      <c r="L783" s="17" t="inlineStr">
        <is>
          <t>09 1005 A</t>
        </is>
      </c>
      <c r="M783" s="17" t="inlineStr">
        <is>
          <t>Mme TUFARIUA COLETTE HIRIATA</t>
        </is>
      </c>
      <c r="N783" s="17" t="inlineStr">
        <is>
          <t>Chef d entreprise</t>
        </is>
      </c>
      <c r="O783" s="18" t="inlineStr">
        <is>
          <t>17103</t>
        </is>
      </c>
    </row>
    <row r="784" ht="20" customHeight="1">
      <c r="A784" s="13" t="inlineStr">
        <is>
          <t>PAEA-CCISM-0783</t>
        </is>
      </c>
      <c r="B784" s="13" t="inlineStr">
        <is>
          <t>G32684</t>
        </is>
      </c>
      <c r="C784" s="14" t="inlineStr">
        <is>
          <t>TUHEI MARINE</t>
        </is>
      </c>
      <c r="D784" s="14" t="inlineStr">
        <is>
          <t>98711 PAEA</t>
        </is>
      </c>
      <c r="E784" s="14" t="inlineStr">
        <is>
          <t>SARL</t>
        </is>
      </c>
      <c r="F784" s="14" t="inlineStr">
        <is>
          <t>Société</t>
        </is>
      </c>
      <c r="G784" s="13" t="inlineStr">
        <is>
          <t>3012Z</t>
        </is>
      </c>
      <c r="H784" s="13" t="inlineStr">
        <is>
          <t>M</t>
        </is>
      </c>
      <c r="I784" s="14" t="inlineStr">
        <is>
          <t>Métiers &amp; Artisanat</t>
        </is>
      </c>
      <c r="J784" s="15" t="n">
        <v>0</v>
      </c>
      <c r="K784" s="15" t="n">
        <v>1</v>
      </c>
      <c r="L784" s="14" t="inlineStr">
        <is>
          <t>25 015 B</t>
        </is>
      </c>
      <c r="M784" s="14" t="inlineStr">
        <is>
          <t>M BRODIEN VATEA</t>
        </is>
      </c>
      <c r="N784" s="14" t="inlineStr">
        <is>
          <t>Autre</t>
        </is>
      </c>
      <c r="O784" s="15" t="inlineStr">
        <is>
          <t>17114</t>
        </is>
      </c>
    </row>
    <row r="785" ht="20" customHeight="1">
      <c r="A785" s="16" t="inlineStr">
        <is>
          <t>PAEA-CCISM-0784</t>
        </is>
      </c>
      <c r="B785" s="16" t="inlineStr">
        <is>
          <t>D15421</t>
        </is>
      </c>
      <c r="C785" s="17" t="inlineStr">
        <is>
          <t>TUHEIAVA NEE BROTHERS ELISE AHUURAU</t>
        </is>
      </c>
      <c r="D785" s="17" t="inlineStr">
        <is>
          <t>98711 PAEA</t>
        </is>
      </c>
      <c r="E785" s="17" t="inlineStr">
        <is>
          <t>Patenté (Personne Physique)</t>
        </is>
      </c>
      <c r="F785" s="17" t="inlineStr">
        <is>
          <t>Patenté</t>
        </is>
      </c>
      <c r="G785" s="16" t="inlineStr">
        <is>
          <t>1413Z</t>
        </is>
      </c>
      <c r="H785" s="16" t="inlineStr">
        <is>
          <t>M</t>
        </is>
      </c>
      <c r="I785" s="17" t="inlineStr">
        <is>
          <t>Métiers &amp; Artisanat</t>
        </is>
      </c>
      <c r="J785" s="18" t="n">
        <v>0</v>
      </c>
      <c r="K785" s="18" t="n">
        <v>1</v>
      </c>
      <c r="L785" s="17" t="inlineStr">
        <is>
          <t>19 483 A</t>
        </is>
      </c>
      <c r="M785" s="17" t="inlineStr">
        <is>
          <t>Mme TUHEIAVA (Née BROTHERS) ELISE AHUURAU</t>
        </is>
      </c>
      <c r="N785" s="17" t="inlineStr">
        <is>
          <t>Chef d entreprise</t>
        </is>
      </c>
      <c r="O785" s="18" t="inlineStr">
        <is>
          <t>17118</t>
        </is>
      </c>
    </row>
    <row r="786" ht="20" customHeight="1">
      <c r="A786" s="13" t="inlineStr">
        <is>
          <t>PAEA-CCISM-0785</t>
        </is>
      </c>
      <c r="B786" s="13" t="inlineStr">
        <is>
          <t>D46400</t>
        </is>
      </c>
      <c r="C786" s="14" t="inlineStr">
        <is>
          <t>TUHOE GEORGES</t>
        </is>
      </c>
      <c r="D786" s="14" t="inlineStr">
        <is>
          <t>98711 PAEA</t>
        </is>
      </c>
      <c r="E786" s="14" t="inlineStr">
        <is>
          <t>Patenté (Personne Physique)</t>
        </is>
      </c>
      <c r="F786" s="14" t="inlineStr">
        <is>
          <t>Patenté</t>
        </is>
      </c>
      <c r="G786" s="13" t="inlineStr">
        <is>
          <t>4321A</t>
        </is>
      </c>
      <c r="H786" s="13" t="inlineStr">
        <is>
          <t>M</t>
        </is>
      </c>
      <c r="I786" s="14" t="inlineStr">
        <is>
          <t>Métiers &amp; Artisanat</t>
        </is>
      </c>
      <c r="J786" s="15" t="n">
        <v>0</v>
      </c>
      <c r="K786" s="15" t="n">
        <v>1</v>
      </c>
      <c r="L786" s="14" t="inlineStr">
        <is>
          <t>19 2806 A</t>
        </is>
      </c>
      <c r="M786" s="14" t="inlineStr">
        <is>
          <t>M TUHOE GEORGES</t>
        </is>
      </c>
      <c r="N786" s="14" t="inlineStr">
        <is>
          <t>Chef d entreprise</t>
        </is>
      </c>
      <c r="O786" s="15" t="inlineStr">
        <is>
          <t>17131</t>
        </is>
      </c>
    </row>
    <row r="787" ht="20" customHeight="1">
      <c r="A787" s="16" t="inlineStr">
        <is>
          <t>PAEA-CCISM-0786</t>
        </is>
      </c>
      <c r="B787" s="16" t="inlineStr">
        <is>
          <t>E93318</t>
        </is>
      </c>
      <c r="C787" s="17" t="inlineStr">
        <is>
          <t>TUHOE NEE ROO NANCY MAITE</t>
        </is>
      </c>
      <c r="D787" s="17" t="inlineStr">
        <is>
          <t>RTE SERVITUDE TAPUTUARAI 98711 PAEA</t>
        </is>
      </c>
      <c r="E787" s="17" t="inlineStr">
        <is>
          <t>Patenté (Personne Physique)</t>
        </is>
      </c>
      <c r="F787" s="17" t="inlineStr">
        <is>
          <t>Patenté</t>
        </is>
      </c>
      <c r="G787" s="16" t="inlineStr">
        <is>
          <t>8130Z</t>
        </is>
      </c>
      <c r="H787" s="16" t="inlineStr">
        <is>
          <t>M</t>
        </is>
      </c>
      <c r="I787" s="17" t="inlineStr">
        <is>
          <t>Métiers &amp; Artisanat</t>
        </is>
      </c>
      <c r="J787" s="18" t="n">
        <v>2</v>
      </c>
      <c r="K787" s="18" t="n">
        <v>1</v>
      </c>
      <c r="L787" s="17" t="inlineStr">
        <is>
          <t>22 2949 A</t>
        </is>
      </c>
      <c r="M787" s="17" t="inlineStr">
        <is>
          <t>Mme TUHOE (Née ROO) NANCY MAITE</t>
        </is>
      </c>
      <c r="N787" s="17" t="inlineStr">
        <is>
          <t>Chef d entreprise</t>
        </is>
      </c>
      <c r="O787" s="18" t="inlineStr">
        <is>
          <t>17132</t>
        </is>
      </c>
    </row>
    <row r="788" ht="20" customHeight="1">
      <c r="A788" s="13" t="inlineStr">
        <is>
          <t>PAEA-CCISM-0787</t>
        </is>
      </c>
      <c r="B788" s="13" t="inlineStr">
        <is>
          <t>848713</t>
        </is>
      </c>
      <c r="C788" s="14" t="inlineStr">
        <is>
          <t>TUHOE SEBASTIEN, HEIMANU</t>
        </is>
      </c>
      <c r="D788" s="14" t="inlineStr">
        <is>
          <t>SERV TAPUTUARAI 98711 PAEA</t>
        </is>
      </c>
      <c r="E788" s="14" t="inlineStr">
        <is>
          <t>Patenté (Personne Physique)</t>
        </is>
      </c>
      <c r="F788" s="14" t="inlineStr">
        <is>
          <t>Patenté</t>
        </is>
      </c>
      <c r="G788" s="13" t="inlineStr">
        <is>
          <t>4339Z</t>
        </is>
      </c>
      <c r="H788" s="13" t="inlineStr">
        <is>
          <t>M</t>
        </is>
      </c>
      <c r="I788" s="14" t="inlineStr">
        <is>
          <t>Métiers &amp; Artisanat</t>
        </is>
      </c>
      <c r="J788" s="15" t="n">
        <v>0</v>
      </c>
      <c r="K788" s="15" t="n">
        <v>1</v>
      </c>
      <c r="L788" s="14" t="inlineStr">
        <is>
          <t>24 2288 A</t>
        </is>
      </c>
      <c r="M788" s="14" t="inlineStr">
        <is>
          <t>M TUHOE SEBASTIEN, HEIMANU</t>
        </is>
      </c>
      <c r="N788" s="14" t="inlineStr">
        <is>
          <t>Chef d entreprise</t>
        </is>
      </c>
      <c r="O788" s="15" t="inlineStr">
        <is>
          <t>17135</t>
        </is>
      </c>
    </row>
    <row r="789" ht="20" customHeight="1">
      <c r="A789" s="16" t="inlineStr">
        <is>
          <t>PAEA-CCISM-0788</t>
        </is>
      </c>
      <c r="B789" s="16" t="inlineStr">
        <is>
          <t>C87380</t>
        </is>
      </c>
      <c r="C789" s="17" t="inlineStr">
        <is>
          <t>TUIHANI MIHIA</t>
        </is>
      </c>
      <c r="D789" s="17" t="inlineStr">
        <is>
          <t>19 RTE DU LOTISSEMENT BALDWIN 98711 PAEA</t>
        </is>
      </c>
      <c r="E789" s="17" t="inlineStr">
        <is>
          <t>Patenté (Personne Physique)</t>
        </is>
      </c>
      <c r="F789" s="17" t="inlineStr">
        <is>
          <t>Patenté</t>
        </is>
      </c>
      <c r="G789" s="16" t="inlineStr">
        <is>
          <t>8121Z</t>
        </is>
      </c>
      <c r="H789" s="16" t="inlineStr">
        <is>
          <t>M</t>
        </is>
      </c>
      <c r="I789" s="17" t="inlineStr">
        <is>
          <t>Métiers &amp; Artisanat</t>
        </is>
      </c>
      <c r="J789" s="18" t="n">
        <v>0</v>
      </c>
      <c r="K789" s="18" t="n">
        <v>1</v>
      </c>
      <c r="L789" s="17" t="inlineStr">
        <is>
          <t>18 1560 A</t>
        </is>
      </c>
      <c r="M789" s="17" t="inlineStr">
        <is>
          <t>Mme TUIHANI MIHIA</t>
        </is>
      </c>
      <c r="N789" s="17" t="inlineStr">
        <is>
          <t>Chef d entreprise</t>
        </is>
      </c>
      <c r="O789" s="18" t="inlineStr">
        <is>
          <t>17151</t>
        </is>
      </c>
    </row>
    <row r="790" ht="20" customHeight="1">
      <c r="A790" s="13" t="inlineStr">
        <is>
          <t>PAEA-CCISM-0789</t>
        </is>
      </c>
      <c r="B790" s="13" t="inlineStr">
        <is>
          <t>E02756</t>
        </is>
      </c>
      <c r="C790" s="14" t="inlineStr">
        <is>
          <t>TUMAHAI SHAUN</t>
        </is>
      </c>
      <c r="D790" s="14" t="inlineStr">
        <is>
          <t>PK 24,300 CT/MONT 98711 PAEA</t>
        </is>
      </c>
      <c r="E790" s="14" t="inlineStr">
        <is>
          <t>Patenté (Personne Physique)</t>
        </is>
      </c>
      <c r="F790" s="14" t="inlineStr">
        <is>
          <t>Patenté</t>
        </is>
      </c>
      <c r="G790" s="13" t="inlineStr">
        <is>
          <t>1813Z</t>
        </is>
      </c>
      <c r="H790" s="13" t="inlineStr">
        <is>
          <t>M</t>
        </is>
      </c>
      <c r="I790" s="14" t="inlineStr">
        <is>
          <t>Métiers &amp; Artisanat</t>
        </is>
      </c>
      <c r="J790" s="15" t="n">
        <v>0</v>
      </c>
      <c r="K790" s="15" t="n">
        <v>1</v>
      </c>
      <c r="L790" s="14" t="inlineStr">
        <is>
          <t>20 2986 A</t>
        </is>
      </c>
      <c r="M790" s="14" t="inlineStr">
        <is>
          <t>Mme TUMAHAI SHAUN</t>
        </is>
      </c>
      <c r="N790" s="14" t="inlineStr">
        <is>
          <t>Chef d entreprise</t>
        </is>
      </c>
      <c r="O790" s="15" t="inlineStr">
        <is>
          <t>17176</t>
        </is>
      </c>
    </row>
    <row r="791" ht="20" customHeight="1">
      <c r="A791" s="16" t="inlineStr">
        <is>
          <t>PAEA-CCISM-0790</t>
        </is>
      </c>
      <c r="B791" s="16" t="inlineStr">
        <is>
          <t>F85908</t>
        </is>
      </c>
      <c r="C791" s="17" t="inlineStr">
        <is>
          <t>TUMARAE RUPINA</t>
        </is>
      </c>
      <c r="D791" s="17" t="inlineStr">
        <is>
          <t>VALLEE DE OROFERO PK 21.900 C/MONT SERVITUDE TUMARAE 98711 PAEA</t>
        </is>
      </c>
      <c r="E791" s="17" t="inlineStr">
        <is>
          <t>Patenté (Personne Physique)</t>
        </is>
      </c>
      <c r="F791" s="17" t="inlineStr">
        <is>
          <t>Patenté</t>
        </is>
      </c>
      <c r="G791" s="16" t="inlineStr">
        <is>
          <t>8121Z</t>
        </is>
      </c>
      <c r="H791" s="16" t="inlineStr">
        <is>
          <t>M</t>
        </is>
      </c>
      <c r="I791" s="17" t="inlineStr">
        <is>
          <t>Métiers &amp; Artisanat</t>
        </is>
      </c>
      <c r="J791" s="18" t="n">
        <v>0</v>
      </c>
      <c r="K791" s="18" t="n">
        <v>1</v>
      </c>
      <c r="L791" s="17" t="inlineStr">
        <is>
          <t>24 1377 A</t>
        </is>
      </c>
      <c r="M791" s="17" t="inlineStr">
        <is>
          <t>Mme TUMARAE RUPINA</t>
        </is>
      </c>
      <c r="N791" s="17" t="inlineStr">
        <is>
          <t>Chef d entreprise</t>
        </is>
      </c>
      <c r="O791" s="18" t="inlineStr">
        <is>
          <t>17183</t>
        </is>
      </c>
    </row>
    <row r="792" ht="20" customHeight="1">
      <c r="A792" s="13" t="inlineStr">
        <is>
          <t>PAEA-CCISM-0791</t>
        </is>
      </c>
      <c r="B792" s="13" t="inlineStr">
        <is>
          <t>958025</t>
        </is>
      </c>
      <c r="C792" s="14" t="inlineStr">
        <is>
          <t>TUORAA ALICE</t>
        </is>
      </c>
      <c r="D792" s="14" t="inlineStr">
        <is>
          <t>98711 PAEA</t>
        </is>
      </c>
      <c r="E792" s="14" t="inlineStr">
        <is>
          <t>Patenté (Personne Physique)</t>
        </is>
      </c>
      <c r="F792" s="14" t="inlineStr">
        <is>
          <t>Patenté</t>
        </is>
      </c>
      <c r="G792" s="13" t="inlineStr">
        <is>
          <t>1413Z</t>
        </is>
      </c>
      <c r="H792" s="13" t="inlineStr">
        <is>
          <t>M</t>
        </is>
      </c>
      <c r="I792" s="14" t="inlineStr">
        <is>
          <t>Métiers &amp; Artisanat</t>
        </is>
      </c>
      <c r="J792" s="15" t="n">
        <v>0</v>
      </c>
      <c r="K792" s="15" t="n">
        <v>1</v>
      </c>
      <c r="L792" s="14" t="inlineStr">
        <is>
          <t>16 29 A</t>
        </is>
      </c>
      <c r="M792" s="14" t="inlineStr">
        <is>
          <t>Mme TUORAA ALICE</t>
        </is>
      </c>
      <c r="N792" s="14" t="inlineStr">
        <is>
          <t>Chef d entreprise</t>
        </is>
      </c>
      <c r="O792" s="15" t="inlineStr">
        <is>
          <t>17198</t>
        </is>
      </c>
    </row>
    <row r="793" ht="20" customHeight="1">
      <c r="A793" s="16" t="inlineStr">
        <is>
          <t>PAEA-CCISM-0792</t>
        </is>
      </c>
      <c r="B793" s="16" t="inlineStr">
        <is>
          <t>779181</t>
        </is>
      </c>
      <c r="C793" s="17" t="inlineStr">
        <is>
          <t>TUPEA LANSON</t>
        </is>
      </c>
      <c r="D793" s="17" t="inlineStr">
        <is>
          <t>VALLEE OROFERO 98711 PAEA</t>
        </is>
      </c>
      <c r="E793" s="17" t="inlineStr">
        <is>
          <t>Patenté (Personne Physique)</t>
        </is>
      </c>
      <c r="F793" s="17" t="inlineStr">
        <is>
          <t>Patenté</t>
        </is>
      </c>
      <c r="G793" s="16" t="inlineStr">
        <is>
          <t>4332A</t>
        </is>
      </c>
      <c r="H793" s="16" t="inlineStr">
        <is>
          <t>M</t>
        </is>
      </c>
      <c r="I793" s="17" t="inlineStr">
        <is>
          <t>Métiers &amp; Artisanat</t>
        </is>
      </c>
      <c r="J793" s="18" t="n">
        <v>0</v>
      </c>
      <c r="K793" s="18" t="n">
        <v>1</v>
      </c>
      <c r="L793" s="17" t="inlineStr">
        <is>
          <t>16 760 A</t>
        </is>
      </c>
      <c r="M793" s="17" t="inlineStr">
        <is>
          <t>M TUPEA LANSON</t>
        </is>
      </c>
      <c r="N793" s="17" t="inlineStr">
        <is>
          <t>Chef d entreprise</t>
        </is>
      </c>
      <c r="O793" s="18" t="inlineStr">
        <is>
          <t>17218</t>
        </is>
      </c>
    </row>
    <row r="794" ht="20" customHeight="1">
      <c r="A794" s="13" t="inlineStr">
        <is>
          <t>PAEA-CCISM-0793</t>
        </is>
      </c>
      <c r="B794" s="13" t="inlineStr">
        <is>
          <t>234708</t>
        </is>
      </c>
      <c r="C794" s="14" t="inlineStr">
        <is>
          <t>TURCI CLAUDE</t>
        </is>
      </c>
      <c r="D794" s="14" t="inlineStr">
        <is>
          <t>98711 PAEA</t>
        </is>
      </c>
      <c r="E794" s="14" t="inlineStr">
        <is>
          <t>Patenté (Personne Physique)</t>
        </is>
      </c>
      <c r="F794" s="14" t="inlineStr">
        <is>
          <t>Patenté</t>
        </is>
      </c>
      <c r="G794" s="13" t="inlineStr">
        <is>
          <t>4334Z</t>
        </is>
      </c>
      <c r="H794" s="13" t="inlineStr">
        <is>
          <t>M</t>
        </is>
      </c>
      <c r="I794" s="14" t="inlineStr">
        <is>
          <t>Métiers &amp; Artisanat</t>
        </is>
      </c>
      <c r="J794" s="15" t="n">
        <v>0</v>
      </c>
      <c r="K794" s="15" t="n">
        <v>1</v>
      </c>
      <c r="L794" s="14" t="inlineStr">
        <is>
          <t>18932 A</t>
        </is>
      </c>
      <c r="M794" s="14" t="inlineStr">
        <is>
          <t>M TURCI CLAUDE</t>
        </is>
      </c>
      <c r="N794" s="14" t="inlineStr">
        <is>
          <t>Chef d entreprise</t>
        </is>
      </c>
      <c r="O794" s="15" t="inlineStr">
        <is>
          <t>17227</t>
        </is>
      </c>
    </row>
    <row r="795" ht="20" customHeight="1">
      <c r="A795" s="16" t="inlineStr">
        <is>
          <t>PAEA-CCISM-0794</t>
        </is>
      </c>
      <c r="B795" s="16" t="inlineStr">
        <is>
          <t>A67469</t>
        </is>
      </c>
      <c r="C795" s="17" t="inlineStr">
        <is>
          <t>TUROA DANIEL</t>
        </is>
      </c>
      <c r="D795" s="17" t="inlineStr">
        <is>
          <t>QT CHAPMAN 98711 PAEA</t>
        </is>
      </c>
      <c r="E795" s="17" t="inlineStr">
        <is>
          <t>Patenté (Personne Physique)</t>
        </is>
      </c>
      <c r="F795" s="17" t="inlineStr">
        <is>
          <t>Patenté</t>
        </is>
      </c>
      <c r="G795" s="16" t="inlineStr">
        <is>
          <t>4321A</t>
        </is>
      </c>
      <c r="H795" s="16" t="inlineStr">
        <is>
          <t>M</t>
        </is>
      </c>
      <c r="I795" s="17" t="inlineStr">
        <is>
          <t>Métiers &amp; Artisanat</t>
        </is>
      </c>
      <c r="J795" s="18" t="n">
        <v>0</v>
      </c>
      <c r="K795" s="18" t="n">
        <v>1</v>
      </c>
      <c r="L795" s="17" t="inlineStr">
        <is>
          <t>19 1157 A</t>
        </is>
      </c>
      <c r="M795" s="17" t="inlineStr">
        <is>
          <t>M TUROA DANIEL</t>
        </is>
      </c>
      <c r="N795" s="17" t="inlineStr">
        <is>
          <t>Chef d entreprise</t>
        </is>
      </c>
      <c r="O795" s="18" t="inlineStr">
        <is>
          <t>17234</t>
        </is>
      </c>
    </row>
    <row r="796" ht="20" customHeight="1">
      <c r="A796" s="13" t="inlineStr">
        <is>
          <t>PAEA-CCISM-0795</t>
        </is>
      </c>
      <c r="B796" s="13" t="inlineStr">
        <is>
          <t>F31001</t>
        </is>
      </c>
      <c r="C796" s="14" t="inlineStr">
        <is>
          <t>TUUA TERAI</t>
        </is>
      </c>
      <c r="D796" s="14" t="inlineStr">
        <is>
          <t>QT CADOUSTEAU 98711 PAEA</t>
        </is>
      </c>
      <c r="E796" s="14" t="inlineStr">
        <is>
          <t>Patenté (Personne Physique)</t>
        </is>
      </c>
      <c r="F796" s="14" t="inlineStr">
        <is>
          <t>Patenté</t>
        </is>
      </c>
      <c r="G796" s="13" t="inlineStr">
        <is>
          <t>4399B</t>
        </is>
      </c>
      <c r="H796" s="13" t="inlineStr">
        <is>
          <t>M</t>
        </is>
      </c>
      <c r="I796" s="14" t="inlineStr">
        <is>
          <t>Métiers &amp; Artisanat</t>
        </is>
      </c>
      <c r="J796" s="15" t="n">
        <v>0</v>
      </c>
      <c r="K796" s="15" t="n">
        <v>1</v>
      </c>
      <c r="L796" s="14" t="inlineStr">
        <is>
          <t>23 1210 A</t>
        </is>
      </c>
      <c r="M796" s="14" t="inlineStr">
        <is>
          <t>M TUUA TERAI</t>
        </is>
      </c>
      <c r="N796" s="14" t="inlineStr">
        <is>
          <t>Chef d entreprise</t>
        </is>
      </c>
      <c r="O796" s="15" t="inlineStr">
        <is>
          <t>17257</t>
        </is>
      </c>
    </row>
    <row r="797" ht="20" customHeight="1">
      <c r="A797" s="16" t="inlineStr">
        <is>
          <t>PAEA-CCISM-0796</t>
        </is>
      </c>
      <c r="B797" s="16" t="inlineStr">
        <is>
          <t>958678</t>
        </is>
      </c>
      <c r="C797" s="17" t="inlineStr">
        <is>
          <t>URIMA CYRIL SEBASTIEN TEVA</t>
        </is>
      </c>
      <c r="D797" s="17" t="inlineStr">
        <is>
          <t>SERV. CADOUSTEAU 98711 PAEA</t>
        </is>
      </c>
      <c r="E797" s="17" t="inlineStr">
        <is>
          <t>Patenté (Personne Physique)</t>
        </is>
      </c>
      <c r="F797" s="17" t="inlineStr">
        <is>
          <t>Patenté</t>
        </is>
      </c>
      <c r="G797" s="16" t="inlineStr">
        <is>
          <t>4312A</t>
        </is>
      </c>
      <c r="H797" s="16" t="inlineStr">
        <is>
          <t>M</t>
        </is>
      </c>
      <c r="I797" s="17" t="inlineStr">
        <is>
          <t>Métiers &amp; Artisanat</t>
        </is>
      </c>
      <c r="J797" s="18" t="n">
        <v>0</v>
      </c>
      <c r="K797" s="18" t="n">
        <v>1</v>
      </c>
      <c r="L797" s="17" t="inlineStr">
        <is>
          <t>12 2050 A</t>
        </is>
      </c>
      <c r="M797" s="17" t="inlineStr">
        <is>
          <t>M URIMA CYRIL SEBASTIEN TEVA</t>
        </is>
      </c>
      <c r="N797" s="17" t="inlineStr">
        <is>
          <t>Chef d entreprise</t>
        </is>
      </c>
      <c r="O797" s="18" t="inlineStr">
        <is>
          <t>17285</t>
        </is>
      </c>
    </row>
    <row r="798" ht="20" customHeight="1">
      <c r="A798" s="13" t="inlineStr">
        <is>
          <t>PAEA-CCISM-0797</t>
        </is>
      </c>
      <c r="B798" s="13" t="inlineStr">
        <is>
          <t>901462</t>
        </is>
      </c>
      <c r="C798" s="14" t="inlineStr">
        <is>
          <t>URIMA MAURICE TAUPOTINI</t>
        </is>
      </c>
      <c r="D798" s="14" t="inlineStr">
        <is>
          <t>98711 PAEA</t>
        </is>
      </c>
      <c r="E798" s="14" t="inlineStr">
        <is>
          <t>Patenté (Personne Physique)</t>
        </is>
      </c>
      <c r="F798" s="14" t="inlineStr">
        <is>
          <t>Patenté</t>
        </is>
      </c>
      <c r="G798" s="13" t="inlineStr">
        <is>
          <t>4339Z</t>
        </is>
      </c>
      <c r="H798" s="13" t="inlineStr">
        <is>
          <t>M</t>
        </is>
      </c>
      <c r="I798" s="14" t="inlineStr">
        <is>
          <t>Métiers &amp; Artisanat</t>
        </is>
      </c>
      <c r="J798" s="15" t="n">
        <v>0</v>
      </c>
      <c r="K798" s="15" t="n">
        <v>1</v>
      </c>
      <c r="L798" s="14" t="inlineStr">
        <is>
          <t>19 2499 A</t>
        </is>
      </c>
      <c r="M798" s="14" t="inlineStr">
        <is>
          <t>M URIMA MAURICE TAUPOTINI</t>
        </is>
      </c>
      <c r="N798" s="14" t="inlineStr">
        <is>
          <t>Chef d entreprise</t>
        </is>
      </c>
      <c r="O798" s="15" t="inlineStr">
        <is>
          <t>17288</t>
        </is>
      </c>
    </row>
    <row r="799" ht="20" customHeight="1">
      <c r="A799" s="16" t="inlineStr">
        <is>
          <t>PAEA-CCISM-0798</t>
        </is>
      </c>
      <c r="B799" s="16" t="inlineStr">
        <is>
          <t>488205</t>
        </is>
      </c>
      <c r="C799" s="17" t="inlineStr">
        <is>
          <t>UTIA EDGARD PUTOA</t>
        </is>
      </c>
      <c r="D799" s="17" t="inlineStr">
        <is>
          <t>RTE DE LA VALLEE OROFERO 98711 PAEA</t>
        </is>
      </c>
      <c r="E799" s="17" t="inlineStr">
        <is>
          <t>Patenté (Personne Physique)</t>
        </is>
      </c>
      <c r="F799" s="17" t="inlineStr">
        <is>
          <t>Patenté</t>
        </is>
      </c>
      <c r="G799" s="16" t="inlineStr">
        <is>
          <t>4339Z</t>
        </is>
      </c>
      <c r="H799" s="16" t="inlineStr">
        <is>
          <t>M</t>
        </is>
      </c>
      <c r="I799" s="17" t="inlineStr">
        <is>
          <t>Métiers &amp; Artisanat</t>
        </is>
      </c>
      <c r="J799" s="18" t="n">
        <v>0</v>
      </c>
      <c r="K799" s="18" t="n">
        <v>1</v>
      </c>
      <c r="L799" s="17" t="inlineStr">
        <is>
          <t>19 2891 A</t>
        </is>
      </c>
      <c r="M799" s="17" t="inlineStr">
        <is>
          <t>M UTIA EDGARD PUTOA</t>
        </is>
      </c>
      <c r="N799" s="17" t="inlineStr">
        <is>
          <t>Chef d entreprise</t>
        </is>
      </c>
      <c r="O799" s="18" t="inlineStr">
        <is>
          <t>17296</t>
        </is>
      </c>
    </row>
    <row r="800" ht="20" customHeight="1">
      <c r="A800" s="13" t="inlineStr">
        <is>
          <t>PAEA-CCISM-0799</t>
        </is>
      </c>
      <c r="B800" s="13" t="inlineStr">
        <is>
          <t>365445</t>
        </is>
      </c>
      <c r="C800" s="14" t="inlineStr">
        <is>
          <t>VAITOOFA TEIKI</t>
        </is>
      </c>
      <c r="D800" s="14" t="inlineStr">
        <is>
          <t>RTE SERVITUDE URANUI PK 19,900 CT MER N°12 98711 PAEA</t>
        </is>
      </c>
      <c r="E800" s="14" t="inlineStr">
        <is>
          <t>Patenté (Personne Physique)</t>
        </is>
      </c>
      <c r="F800" s="14" t="inlineStr">
        <is>
          <t>Patenté</t>
        </is>
      </c>
      <c r="G800" s="13" t="inlineStr">
        <is>
          <t>4339Z</t>
        </is>
      </c>
      <c r="H800" s="13" t="inlineStr">
        <is>
          <t>M</t>
        </is>
      </c>
      <c r="I800" s="14" t="inlineStr">
        <is>
          <t>Métiers &amp; Artisanat</t>
        </is>
      </c>
      <c r="J800" s="15" t="n">
        <v>0</v>
      </c>
      <c r="K800" s="15" t="n">
        <v>1</v>
      </c>
      <c r="L800" s="14" t="inlineStr">
        <is>
          <t>22 1411 A</t>
        </is>
      </c>
      <c r="M800" s="14" t="inlineStr">
        <is>
          <t>M VAITOOFA TEIKI</t>
        </is>
      </c>
      <c r="N800" s="14" t="inlineStr">
        <is>
          <t>Chef d entreprise</t>
        </is>
      </c>
      <c r="O800" s="15" t="inlineStr">
        <is>
          <t>17387</t>
        </is>
      </c>
    </row>
    <row r="801" ht="20" customHeight="1">
      <c r="A801" s="16" t="inlineStr">
        <is>
          <t>PAEA-CCISM-0800</t>
        </is>
      </c>
      <c r="B801" s="16" t="inlineStr">
        <is>
          <t>B82979</t>
        </is>
      </c>
      <c r="C801" s="17" t="inlineStr">
        <is>
          <t>VALEIX SOKONA TEANAU</t>
        </is>
      </c>
      <c r="D801" s="17" t="inlineStr">
        <is>
          <t>98711 PAEA</t>
        </is>
      </c>
      <c r="E801" s="17" t="inlineStr">
        <is>
          <t>Patenté (Personne Physique)</t>
        </is>
      </c>
      <c r="F801" s="17" t="inlineStr">
        <is>
          <t>Patenté</t>
        </is>
      </c>
      <c r="G801" s="16" t="inlineStr">
        <is>
          <t>8121Z</t>
        </is>
      </c>
      <c r="H801" s="16" t="inlineStr">
        <is>
          <t>M</t>
        </is>
      </c>
      <c r="I801" s="17" t="inlineStr">
        <is>
          <t>Métiers &amp; Artisanat</t>
        </is>
      </c>
      <c r="J801" s="18" t="n">
        <v>0</v>
      </c>
      <c r="K801" s="18" t="n">
        <v>1</v>
      </c>
      <c r="L801" s="17" t="inlineStr">
        <is>
          <t>16 2003 A</t>
        </is>
      </c>
      <c r="M801" s="17" t="inlineStr">
        <is>
          <t>Mme VALEIX SOKONA TEANAU</t>
        </is>
      </c>
      <c r="N801" s="17" t="inlineStr">
        <is>
          <t>Chef d entreprise</t>
        </is>
      </c>
      <c r="O801" s="18" t="inlineStr">
        <is>
          <t>17392</t>
        </is>
      </c>
    </row>
    <row r="802" ht="20" customHeight="1">
      <c r="A802" s="13" t="inlineStr">
        <is>
          <t>PAEA-CCISM-0801</t>
        </is>
      </c>
      <c r="B802" s="13" t="inlineStr">
        <is>
          <t>104216</t>
        </is>
      </c>
      <c r="C802" s="14" t="inlineStr">
        <is>
          <t>VANNIER BRUNO</t>
        </is>
      </c>
      <c r="D802" s="14" t="inlineStr">
        <is>
          <t>PAEA PK 19,300 C MONT 98711 PAEA</t>
        </is>
      </c>
      <c r="E802" s="14" t="inlineStr">
        <is>
          <t>Patenté (Personne Physique)</t>
        </is>
      </c>
      <c r="F802" s="14" t="inlineStr">
        <is>
          <t>Patenté</t>
        </is>
      </c>
      <c r="G802" s="13" t="inlineStr">
        <is>
          <t>7420Z</t>
        </is>
      </c>
      <c r="H802" s="13" t="inlineStr">
        <is>
          <t>M</t>
        </is>
      </c>
      <c r="I802" s="14" t="inlineStr">
        <is>
          <t>Métiers &amp; Artisanat</t>
        </is>
      </c>
      <c r="J802" s="15" t="n">
        <v>0</v>
      </c>
      <c r="K802" s="15" t="n">
        <v>1</v>
      </c>
      <c r="L802" s="14" t="inlineStr">
        <is>
          <t>12176 A</t>
        </is>
      </c>
      <c r="M802" s="14" t="inlineStr">
        <is>
          <t>M VANNIER BRUNO</t>
        </is>
      </c>
      <c r="N802" s="14" t="inlineStr">
        <is>
          <t>Chef d entreprise</t>
        </is>
      </c>
      <c r="O802" s="15" t="inlineStr">
        <is>
          <t>17453</t>
        </is>
      </c>
    </row>
    <row r="803" ht="20" customHeight="1">
      <c r="A803" s="16" t="inlineStr">
        <is>
          <t>PAEA-CCISM-0802</t>
        </is>
      </c>
      <c r="B803" s="16" t="inlineStr">
        <is>
          <t>A93341</t>
        </is>
      </c>
      <c r="C803" s="17" t="inlineStr">
        <is>
          <t>VARNEY MARC</t>
        </is>
      </c>
      <c r="D803" s="17" t="inlineStr">
        <is>
          <t>SERVITUDE TEHOIRI 98711 PAEA</t>
        </is>
      </c>
      <c r="E803" s="17" t="inlineStr">
        <is>
          <t>Patenté (Personne Physique)</t>
        </is>
      </c>
      <c r="F803" s="17" t="inlineStr">
        <is>
          <t>Patenté</t>
        </is>
      </c>
      <c r="G803" s="16" t="inlineStr">
        <is>
          <t>4321A</t>
        </is>
      </c>
      <c r="H803" s="16" t="inlineStr">
        <is>
          <t>M</t>
        </is>
      </c>
      <c r="I803" s="17" t="inlineStr">
        <is>
          <t>Métiers &amp; Artisanat</t>
        </is>
      </c>
      <c r="J803" s="18" t="n">
        <v>0</v>
      </c>
      <c r="K803" s="18" t="n">
        <v>1</v>
      </c>
      <c r="L803" s="17" t="inlineStr">
        <is>
          <t>14 31 A</t>
        </is>
      </c>
      <c r="M803" s="17" t="inlineStr">
        <is>
          <t>M VARNEY MARC</t>
        </is>
      </c>
      <c r="N803" s="17" t="inlineStr">
        <is>
          <t>Chef d entreprise</t>
        </is>
      </c>
      <c r="O803" s="18" t="inlineStr">
        <is>
          <t>17464</t>
        </is>
      </c>
    </row>
    <row r="804" ht="20" customHeight="1">
      <c r="A804" s="13" t="inlineStr">
        <is>
          <t>PAEA-CCISM-0803</t>
        </is>
      </c>
      <c r="B804" s="13" t="inlineStr">
        <is>
          <t>877829</t>
        </is>
      </c>
      <c r="C804" s="14" t="inlineStr">
        <is>
          <t>VARNEY NEE ARIIPEU MANUIA FLORENCE</t>
        </is>
      </c>
      <c r="D804" s="14" t="inlineStr">
        <is>
          <t>PAEA PK 21.500 C/MONT - VAIATU 98711 PAEA</t>
        </is>
      </c>
      <c r="E804" s="14" t="inlineStr">
        <is>
          <t>Patenté (Personne Physique)</t>
        </is>
      </c>
      <c r="F804" s="14" t="inlineStr">
        <is>
          <t>Patenté</t>
        </is>
      </c>
      <c r="G804" s="13" t="inlineStr">
        <is>
          <t>4339Z</t>
        </is>
      </c>
      <c r="H804" s="13" t="inlineStr">
        <is>
          <t>M</t>
        </is>
      </c>
      <c r="I804" s="14" t="inlineStr">
        <is>
          <t>Métiers &amp; Artisanat</t>
        </is>
      </c>
      <c r="J804" s="15" t="n">
        <v>4</v>
      </c>
      <c r="K804" s="15" t="n">
        <v>1</v>
      </c>
      <c r="L804" s="14" t="inlineStr">
        <is>
          <t>08 1543 A</t>
        </is>
      </c>
      <c r="M804" s="14" t="inlineStr">
        <is>
          <t>Mme VARNEY (Née ARIIPEU) MANUIA FLORENCE</t>
        </is>
      </c>
      <c r="N804" s="14" t="inlineStr">
        <is>
          <t>Chef d entreprise</t>
        </is>
      </c>
      <c r="O804" s="15" t="inlineStr">
        <is>
          <t>17465</t>
        </is>
      </c>
    </row>
    <row r="805" ht="20" customHeight="1">
      <c r="A805" s="16" t="inlineStr">
        <is>
          <t>PAEA-CCISM-0804</t>
        </is>
      </c>
      <c r="B805" s="16" t="inlineStr">
        <is>
          <t>173963</t>
        </is>
      </c>
      <c r="C805" s="17" t="inlineStr">
        <is>
          <t>VERSOLATO FABRICE</t>
        </is>
      </c>
      <c r="D805" s="17" t="inlineStr">
        <is>
          <t>98711 PAEA</t>
        </is>
      </c>
      <c r="E805" s="17" t="inlineStr">
        <is>
          <t>Patenté (Personne Physique)</t>
        </is>
      </c>
      <c r="F805" s="17" t="inlineStr">
        <is>
          <t>Patenté</t>
        </is>
      </c>
      <c r="G805" s="16" t="inlineStr">
        <is>
          <t>4120B</t>
        </is>
      </c>
      <c r="H805" s="16" t="inlineStr">
        <is>
          <t>M</t>
        </is>
      </c>
      <c r="I805" s="17" t="inlineStr">
        <is>
          <t>Métiers &amp; Artisanat</t>
        </is>
      </c>
      <c r="J805" s="18" t="n">
        <v>1</v>
      </c>
      <c r="K805" s="18" t="n">
        <v>1</v>
      </c>
      <c r="L805" s="17" t="inlineStr">
        <is>
          <t>18 2691 A</t>
        </is>
      </c>
      <c r="M805" s="17" t="inlineStr">
        <is>
          <t>M VERSOLATO FABRICE</t>
        </is>
      </c>
      <c r="N805" s="17" t="inlineStr">
        <is>
          <t>Chef d entreprise</t>
        </is>
      </c>
      <c r="O805" s="18" t="inlineStr">
        <is>
          <t>17517</t>
        </is>
      </c>
    </row>
    <row r="806" ht="20" customHeight="1">
      <c r="A806" s="13" t="inlineStr">
        <is>
          <t>PAEA-CCISM-0805</t>
        </is>
      </c>
      <c r="B806" s="13" t="inlineStr">
        <is>
          <t>F61586</t>
        </is>
      </c>
      <c r="C806" s="14" t="inlineStr">
        <is>
          <t>VICART HUGO</t>
        </is>
      </c>
      <c r="D806" s="14" t="inlineStr">
        <is>
          <t>ROUTE BASSIN PAPEHUE FACE BASSIN BRCHT 98711 PAEA</t>
        </is>
      </c>
      <c r="E806" s="14" t="inlineStr">
        <is>
          <t>Patenté (Personne Physique)</t>
        </is>
      </c>
      <c r="F806" s="14" t="inlineStr">
        <is>
          <t>Patenté</t>
        </is>
      </c>
      <c r="G806" s="13" t="inlineStr">
        <is>
          <t>4339Z</t>
        </is>
      </c>
      <c r="H806" s="13" t="inlineStr">
        <is>
          <t>M</t>
        </is>
      </c>
      <c r="I806" s="14" t="inlineStr">
        <is>
          <t>Métiers &amp; Artisanat</t>
        </is>
      </c>
      <c r="J806" s="15" t="n">
        <v>0</v>
      </c>
      <c r="K806" s="15" t="n">
        <v>1</v>
      </c>
      <c r="L806" s="14" t="inlineStr">
        <is>
          <t>23 3114 A</t>
        </is>
      </c>
      <c r="M806" s="14" t="inlineStr">
        <is>
          <t>M VICART HUGO</t>
        </is>
      </c>
      <c r="N806" s="14" t="inlineStr">
        <is>
          <t>Chef d entreprise</t>
        </is>
      </c>
      <c r="O806" s="15" t="inlineStr">
        <is>
          <t>17538</t>
        </is>
      </c>
    </row>
    <row r="807" ht="20" customHeight="1">
      <c r="A807" s="16" t="inlineStr">
        <is>
          <t>PAEA-CCISM-0806</t>
        </is>
      </c>
      <c r="B807" s="16" t="inlineStr">
        <is>
          <t>646224</t>
        </is>
      </c>
      <c r="C807" s="17" t="inlineStr">
        <is>
          <t>VICART NEE BARELLE SONIA LAETITIA RENEE</t>
        </is>
      </c>
      <c r="D807" s="17" t="inlineStr">
        <is>
          <t>PAEA PK 23 C/MONT - FARE KIKIPA 98711 PAEA</t>
        </is>
      </c>
      <c r="E807" s="17" t="inlineStr">
        <is>
          <t>Patenté (Personne Physique)</t>
        </is>
      </c>
      <c r="F807" s="17" t="inlineStr">
        <is>
          <t>Patenté</t>
        </is>
      </c>
      <c r="G807" s="16" t="inlineStr">
        <is>
          <t>9602B</t>
        </is>
      </c>
      <c r="H807" s="16" t="inlineStr">
        <is>
          <t>M</t>
        </is>
      </c>
      <c r="I807" s="17" t="inlineStr">
        <is>
          <t>Métiers &amp; Artisanat</t>
        </is>
      </c>
      <c r="J807" s="18" t="n">
        <v>0</v>
      </c>
      <c r="K807" s="18" t="n">
        <v>1</v>
      </c>
      <c r="L807" s="17" t="inlineStr">
        <is>
          <t>42247 A</t>
        </is>
      </c>
      <c r="M807" s="17" t="inlineStr">
        <is>
          <t>Mme VICART (Née BARELLE) SONIA LAETITIA RENEE</t>
        </is>
      </c>
      <c r="N807" s="17" t="inlineStr">
        <is>
          <t>Chef d entreprise</t>
        </is>
      </c>
      <c r="O807" s="18" t="inlineStr">
        <is>
          <t>17539</t>
        </is>
      </c>
    </row>
    <row r="808" ht="20" customHeight="1">
      <c r="A808" s="13" t="inlineStr">
        <is>
          <t>PAEA-CCISM-0807</t>
        </is>
      </c>
      <c r="B808" s="13" t="inlineStr">
        <is>
          <t>F03182</t>
        </is>
      </c>
      <c r="C808" s="14" t="inlineStr">
        <is>
          <t>VIRIAMU ROUANI</t>
        </is>
      </c>
      <c r="D808" s="14" t="inlineStr">
        <is>
          <t>LOGT N°32 RTE LOTISSEMENT TEPUHAPA 98711 PAEA</t>
        </is>
      </c>
      <c r="E808" s="14" t="inlineStr">
        <is>
          <t>Patenté (Personne Physique)</t>
        </is>
      </c>
      <c r="F808" s="14" t="inlineStr">
        <is>
          <t>Patenté</t>
        </is>
      </c>
      <c r="G808" s="13" t="inlineStr">
        <is>
          <t>4339Z</t>
        </is>
      </c>
      <c r="H808" s="13" t="inlineStr">
        <is>
          <t>M</t>
        </is>
      </c>
      <c r="I808" s="14" t="inlineStr">
        <is>
          <t>Métiers &amp; Artisanat</t>
        </is>
      </c>
      <c r="J808" s="15" t="n">
        <v>0</v>
      </c>
      <c r="K808" s="15" t="n">
        <v>1</v>
      </c>
      <c r="L808" s="14" t="inlineStr">
        <is>
          <t>22 3010 A</t>
        </is>
      </c>
      <c r="M808" s="14" t="inlineStr">
        <is>
          <t>M VIRIAMU ROUANI</t>
        </is>
      </c>
      <c r="N808" s="14" t="inlineStr">
        <is>
          <t>Chef d entreprise</t>
        </is>
      </c>
      <c r="O808" s="15" t="inlineStr">
        <is>
          <t>17593</t>
        </is>
      </c>
    </row>
    <row r="809" ht="20" customHeight="1">
      <c r="A809" s="16" t="inlineStr">
        <is>
          <t>PAEA-CCISM-0808</t>
        </is>
      </c>
      <c r="B809" s="16" t="inlineStr">
        <is>
          <t>D02981</t>
        </is>
      </c>
      <c r="C809" s="17" t="inlineStr">
        <is>
          <t>WES ELEC</t>
        </is>
      </c>
      <c r="D809" s="17" t="inlineStr">
        <is>
          <t>98711 PAEA</t>
        </is>
      </c>
      <c r="E809" s="17" t="inlineStr">
        <is>
          <t>SARL</t>
        </is>
      </c>
      <c r="F809" s="17" t="inlineStr">
        <is>
          <t>Société</t>
        </is>
      </c>
      <c r="G809" s="16" t="inlineStr">
        <is>
          <t>4321A</t>
        </is>
      </c>
      <c r="H809" s="16" t="inlineStr">
        <is>
          <t>M</t>
        </is>
      </c>
      <c r="I809" s="17" t="inlineStr">
        <is>
          <t>Métiers &amp; Artisanat</t>
        </is>
      </c>
      <c r="J809" s="18" t="n">
        <v>2</v>
      </c>
      <c r="K809" s="18" t="n">
        <v>1</v>
      </c>
      <c r="L809" s="17" t="inlineStr">
        <is>
          <t>18 356 B</t>
        </is>
      </c>
      <c r="M809" s="17" t="inlineStr">
        <is>
          <t>M BUTSCHER WESLEY TOANUI</t>
        </is>
      </c>
      <c r="N809" s="17" t="inlineStr">
        <is>
          <t>Gérant</t>
        </is>
      </c>
      <c r="O809" s="18" t="inlineStr">
        <is>
          <t>17686</t>
        </is>
      </c>
    </row>
    <row r="810" ht="20" customHeight="1">
      <c r="A810" s="13" t="inlineStr">
        <is>
          <t>PAEA-CCISM-0809</t>
        </is>
      </c>
      <c r="B810" s="13" t="inlineStr">
        <is>
          <t>452110</t>
        </is>
      </c>
      <c r="C810" s="14" t="inlineStr">
        <is>
          <t>WHITE NEE TEUPOOHUITUA ANGELE</t>
        </is>
      </c>
      <c r="D810" s="14" t="inlineStr">
        <is>
          <t>PAEA PK 25.200 C/MONT 98711 PAEA</t>
        </is>
      </c>
      <c r="E810" s="14" t="inlineStr">
        <is>
          <t>Patenté (Personne Physique)</t>
        </is>
      </c>
      <c r="F810" s="14" t="inlineStr">
        <is>
          <t>Patenté</t>
        </is>
      </c>
      <c r="G810" s="13" t="inlineStr">
        <is>
          <t>1071A</t>
        </is>
      </c>
      <c r="H810" s="13" t="inlineStr">
        <is>
          <t>M</t>
        </is>
      </c>
      <c r="I810" s="14" t="inlineStr">
        <is>
          <t>Métiers &amp; Artisanat</t>
        </is>
      </c>
      <c r="J810" s="15" t="n">
        <v>0</v>
      </c>
      <c r="K810" s="15" t="n">
        <v>1</v>
      </c>
      <c r="L810" s="14" t="inlineStr">
        <is>
          <t>30684 A</t>
        </is>
      </c>
      <c r="M810" s="14" t="inlineStr">
        <is>
          <t>Mme WHITE (Née TEUPOOHUITUA) ANGELE</t>
        </is>
      </c>
      <c r="N810" s="14" t="inlineStr">
        <is>
          <t>Chef d entreprise</t>
        </is>
      </c>
      <c r="O810" s="15" t="inlineStr">
        <is>
          <t>17691</t>
        </is>
      </c>
    </row>
    <row r="811" ht="20" customHeight="1">
      <c r="A811" s="16" t="inlineStr">
        <is>
          <t>PAEA-CCISM-0810</t>
        </is>
      </c>
      <c r="B811" s="16" t="inlineStr">
        <is>
          <t>F91872</t>
        </is>
      </c>
      <c r="C811" s="17" t="inlineStr">
        <is>
          <t>WINCHESTER EVA</t>
        </is>
      </c>
      <c r="D811" s="17" t="inlineStr">
        <is>
          <t>98711 PAEA</t>
        </is>
      </c>
      <c r="E811" s="17" t="inlineStr">
        <is>
          <t>Patenté (Personne Physique)</t>
        </is>
      </c>
      <c r="F811" s="17" t="inlineStr">
        <is>
          <t>Patenté</t>
        </is>
      </c>
      <c r="G811" s="16" t="inlineStr">
        <is>
          <t>7420Z</t>
        </is>
      </c>
      <c r="H811" s="16" t="inlineStr">
        <is>
          <t>M</t>
        </is>
      </c>
      <c r="I811" s="17" t="inlineStr">
        <is>
          <t>Métiers &amp; Artisanat</t>
        </is>
      </c>
      <c r="J811" s="18" t="n">
        <v>0</v>
      </c>
      <c r="K811" s="18" t="n">
        <v>1</v>
      </c>
      <c r="L811" s="17" t="inlineStr">
        <is>
          <t>24 1689 A</t>
        </is>
      </c>
      <c r="M811" s="17" t="inlineStr">
        <is>
          <t>Mme WINCHESTER EVA</t>
        </is>
      </c>
      <c r="N811" s="17" t="inlineStr">
        <is>
          <t>Chef d entreprise</t>
        </is>
      </c>
      <c r="O811" s="18" t="inlineStr">
        <is>
          <t>17712</t>
        </is>
      </c>
    </row>
    <row r="812" ht="20" customHeight="1">
      <c r="A812" s="13" t="inlineStr">
        <is>
          <t>PAEA-CCISM-0811</t>
        </is>
      </c>
      <c r="B812" s="13" t="inlineStr">
        <is>
          <t>A28834</t>
        </is>
      </c>
      <c r="C812" s="14" t="inlineStr">
        <is>
          <t>WONG FO KOUI STEVE, TEMARU, TEVA</t>
        </is>
      </c>
      <c r="D812" s="14" t="inlineStr">
        <is>
          <t>PAEA PK 22 C/MONT - VALLEE OROFERO 98711 PAEA</t>
        </is>
      </c>
      <c r="E812" s="14" t="inlineStr">
        <is>
          <t>Patenté (Personne Physique)</t>
        </is>
      </c>
      <c r="F812" s="14" t="inlineStr">
        <is>
          <t>Patenté</t>
        </is>
      </c>
      <c r="G812" s="13" t="inlineStr">
        <is>
          <t>4520A</t>
        </is>
      </c>
      <c r="H812" s="13" t="inlineStr">
        <is>
          <t>M</t>
        </is>
      </c>
      <c r="I812" s="14" t="inlineStr">
        <is>
          <t>Métiers &amp; Artisanat</t>
        </is>
      </c>
      <c r="J812" s="15" t="n">
        <v>0</v>
      </c>
      <c r="K812" s="15" t="n">
        <v>1</v>
      </c>
      <c r="L812" s="14" t="inlineStr">
        <is>
          <t>12 968 A</t>
        </is>
      </c>
      <c r="M812" s="14" t="inlineStr">
        <is>
          <t>M WONG FO KOUI STEVE, TEMARU, TEVA</t>
        </is>
      </c>
      <c r="N812" s="14" t="inlineStr">
        <is>
          <t>Chef d entreprise</t>
        </is>
      </c>
      <c r="O812" s="15" t="inlineStr">
        <is>
          <t>17735</t>
        </is>
      </c>
    </row>
    <row r="813" ht="20" customHeight="1">
      <c r="A813" s="16" t="inlineStr">
        <is>
          <t>PAEA-CCISM-0812</t>
        </is>
      </c>
      <c r="B813" s="16" t="inlineStr">
        <is>
          <t>180349</t>
        </is>
      </c>
      <c r="C813" s="17" t="inlineStr">
        <is>
          <t>WONG YANNICK</t>
        </is>
      </c>
      <c r="D813" s="17" t="inlineStr">
        <is>
          <t>PAEA PK 22 C/MONT 98711 PAEA</t>
        </is>
      </c>
      <c r="E813" s="17" t="inlineStr">
        <is>
          <t>Patenté (Personne Physique)</t>
        </is>
      </c>
      <c r="F813" s="17" t="inlineStr">
        <is>
          <t>Patenté</t>
        </is>
      </c>
      <c r="G813" s="16" t="inlineStr">
        <is>
          <t>4339Z</t>
        </is>
      </c>
      <c r="H813" s="16" t="inlineStr">
        <is>
          <t>M</t>
        </is>
      </c>
      <c r="I813" s="17" t="inlineStr">
        <is>
          <t>Métiers &amp; Artisanat</t>
        </is>
      </c>
      <c r="J813" s="18" t="n">
        <v>0</v>
      </c>
      <c r="K813" s="18" t="n">
        <v>1</v>
      </c>
      <c r="L813" s="17" t="inlineStr">
        <is>
          <t>16365 A</t>
        </is>
      </c>
      <c r="M813" s="17" t="inlineStr">
        <is>
          <t>M WONG YANNICK</t>
        </is>
      </c>
      <c r="N813" s="17" t="inlineStr"/>
      <c r="O813" s="18" t="inlineStr">
        <is>
          <t>17780</t>
        </is>
      </c>
    </row>
    <row r="814" ht="20" customHeight="1">
      <c r="A814" s="13" t="inlineStr">
        <is>
          <t>PAEA-CCISM-0813</t>
        </is>
      </c>
      <c r="B814" s="13" t="inlineStr">
        <is>
          <t>960740</t>
        </is>
      </c>
      <c r="C814" s="14" t="inlineStr">
        <is>
          <t>YANE ALEXANDRE TAUMATARII</t>
        </is>
      </c>
      <c r="D814" s="14" t="inlineStr">
        <is>
          <t>TERRE URAEA A TEFANA LOT 13 - LOT A 98711 PAEA</t>
        </is>
      </c>
      <c r="E814" s="14" t="inlineStr">
        <is>
          <t>Patenté (Personne Physique)</t>
        </is>
      </c>
      <c r="F814" s="14" t="inlineStr">
        <is>
          <t>Patenté</t>
        </is>
      </c>
      <c r="G814" s="13" t="inlineStr">
        <is>
          <t>4932Z</t>
        </is>
      </c>
      <c r="H814" s="13" t="inlineStr">
        <is>
          <t>M</t>
        </is>
      </c>
      <c r="I814" s="14" t="inlineStr">
        <is>
          <t>Métiers &amp; Artisanat</t>
        </is>
      </c>
      <c r="J814" s="15" t="n">
        <v>0</v>
      </c>
      <c r="K814" s="15" t="n">
        <v>1</v>
      </c>
      <c r="L814" s="14" t="inlineStr">
        <is>
          <t>17 1622 A</t>
        </is>
      </c>
      <c r="M814" s="14" t="inlineStr">
        <is>
          <t>M YANE ALEXANDRE TAUMATARII</t>
        </is>
      </c>
      <c r="N814" s="14" t="inlineStr">
        <is>
          <t>Chef d entreprise</t>
        </is>
      </c>
      <c r="O814" s="15" t="inlineStr">
        <is>
          <t>17795</t>
        </is>
      </c>
    </row>
    <row r="815" ht="20" customHeight="1">
      <c r="A815" s="16" t="inlineStr">
        <is>
          <t>PAEA-CCISM-0814</t>
        </is>
      </c>
      <c r="B815" s="16" t="inlineStr">
        <is>
          <t>697672</t>
        </is>
      </c>
      <c r="C815" s="17" t="inlineStr">
        <is>
          <t>YAU LOI NEE CHEUNG IRENE</t>
        </is>
      </c>
      <c r="D815" s="17" t="inlineStr">
        <is>
          <t>98711 PAEA</t>
        </is>
      </c>
      <c r="E815" s="17" t="inlineStr">
        <is>
          <t>Patenté (Personne Physique)</t>
        </is>
      </c>
      <c r="F815" s="17" t="inlineStr">
        <is>
          <t>Patenté</t>
        </is>
      </c>
      <c r="G815" s="16" t="inlineStr">
        <is>
          <t>1413Z</t>
        </is>
      </c>
      <c r="H815" s="16" t="inlineStr">
        <is>
          <t>M</t>
        </is>
      </c>
      <c r="I815" s="17" t="inlineStr">
        <is>
          <t>Métiers &amp; Artisanat</t>
        </is>
      </c>
      <c r="J815" s="18" t="n">
        <v>0</v>
      </c>
      <c r="K815" s="18" t="n">
        <v>1</v>
      </c>
      <c r="L815" s="17" t="inlineStr">
        <is>
          <t>18 2082 A</t>
        </is>
      </c>
      <c r="M815" s="17" t="inlineStr">
        <is>
          <t>Mme YAU LOI (Née CHEUNG) IRENE</t>
        </is>
      </c>
      <c r="N815" s="17" t="inlineStr">
        <is>
          <t>Chef d entreprise</t>
        </is>
      </c>
      <c r="O815" s="18" t="inlineStr">
        <is>
          <t>17805</t>
        </is>
      </c>
    </row>
    <row r="816" ht="20" customHeight="1">
      <c r="A816" s="13" t="inlineStr">
        <is>
          <t>PAEA-CCISM-0815</t>
        </is>
      </c>
      <c r="B816" s="13" t="inlineStr">
        <is>
          <t>B06549</t>
        </is>
      </c>
      <c r="C816" s="14" t="inlineStr">
        <is>
          <t>YOKOTA KEIKO</t>
        </is>
      </c>
      <c r="D816" s="14" t="inlineStr">
        <is>
          <t>SERVITUDE CHAPMAN 98711 PAEA</t>
        </is>
      </c>
      <c r="E816" s="14" t="inlineStr">
        <is>
          <t>Patenté (Personne Physique)</t>
        </is>
      </c>
      <c r="F816" s="14" t="inlineStr">
        <is>
          <t>Patenté</t>
        </is>
      </c>
      <c r="G816" s="13" t="inlineStr">
        <is>
          <t>9602B</t>
        </is>
      </c>
      <c r="H816" s="13" t="inlineStr">
        <is>
          <t>M</t>
        </is>
      </c>
      <c r="I816" s="14" t="inlineStr">
        <is>
          <t>Métiers &amp; Artisanat</t>
        </is>
      </c>
      <c r="J816" s="15" t="n">
        <v>0</v>
      </c>
      <c r="K816" s="15" t="n">
        <v>1</v>
      </c>
      <c r="L816" s="14" t="inlineStr">
        <is>
          <t>22 619 A</t>
        </is>
      </c>
      <c r="M816" s="14" t="inlineStr">
        <is>
          <t>Mme YOKOTA KEIKO</t>
        </is>
      </c>
      <c r="N816" s="14" t="inlineStr">
        <is>
          <t>Chef d entreprise</t>
        </is>
      </c>
      <c r="O816" s="15" t="inlineStr">
        <is>
          <t>17834</t>
        </is>
      </c>
    </row>
    <row r="817" ht="20" customHeight="1">
      <c r="A817" s="16" t="inlineStr">
        <is>
          <t>PAEA-CCISM-0816</t>
        </is>
      </c>
      <c r="B817" s="16" t="inlineStr">
        <is>
          <t>082610</t>
        </is>
      </c>
      <c r="C817" s="17" t="inlineStr">
        <is>
          <t>YUEN SANG</t>
        </is>
      </c>
      <c r="D817" s="17" t="inlineStr">
        <is>
          <t>PAEA PK 21.5 C/MER 98711 PAEA</t>
        </is>
      </c>
      <c r="E817" s="17" t="inlineStr">
        <is>
          <t>Patenté (Personne Physique)</t>
        </is>
      </c>
      <c r="F817" s="17" t="inlineStr">
        <is>
          <t>Patenté</t>
        </is>
      </c>
      <c r="G817" s="16" t="inlineStr">
        <is>
          <t>4520A</t>
        </is>
      </c>
      <c r="H817" s="16" t="inlineStr">
        <is>
          <t>M</t>
        </is>
      </c>
      <c r="I817" s="17" t="inlineStr">
        <is>
          <t>Métiers &amp; Artisanat</t>
        </is>
      </c>
      <c r="J817" s="18" t="n">
        <v>0</v>
      </c>
      <c r="K817" s="18" t="n">
        <v>1</v>
      </c>
      <c r="L817" s="17" t="inlineStr"/>
      <c r="M817" s="17" t="inlineStr">
        <is>
          <t>10736 A</t>
        </is>
      </c>
      <c r="N817" s="17" t="inlineStr"/>
      <c r="O817" s="18" t="inlineStr"/>
    </row>
    <row r="818" ht="20" customHeight="1">
      <c r="A818" s="13" t="inlineStr">
        <is>
          <t>PAEA-CCISM-0817</t>
        </is>
      </c>
      <c r="B818" s="13" t="inlineStr">
        <is>
          <t>A66263</t>
        </is>
      </c>
      <c r="C818" s="14" t="inlineStr">
        <is>
          <t>YULE HERENUI</t>
        </is>
      </c>
      <c r="D818" s="14" t="inlineStr">
        <is>
          <t>RTE DE LA VALLEE OROFERO 98711 PAEA</t>
        </is>
      </c>
      <c r="E818" s="14" t="inlineStr">
        <is>
          <t>Patenté (Personne Physique)</t>
        </is>
      </c>
      <c r="F818" s="14" t="inlineStr">
        <is>
          <t>Patenté</t>
        </is>
      </c>
      <c r="G818" s="13" t="inlineStr">
        <is>
          <t>9602A</t>
        </is>
      </c>
      <c r="H818" s="13" t="inlineStr">
        <is>
          <t>M</t>
        </is>
      </c>
      <c r="I818" s="14" t="inlineStr">
        <is>
          <t>Métiers &amp; Artisanat</t>
        </is>
      </c>
      <c r="J818" s="15" t="n">
        <v>0</v>
      </c>
      <c r="K818" s="15" t="n">
        <v>1</v>
      </c>
      <c r="L818" s="14" t="inlineStr">
        <is>
          <t>20 2441 A</t>
        </is>
      </c>
      <c r="M818" s="14" t="inlineStr">
        <is>
          <t>Mme YULE HERENUI</t>
        </is>
      </c>
      <c r="N818" s="14" t="inlineStr">
        <is>
          <t>Chef d entreprise 17862 595 595 Total voix pour la Catégorie SERVICE</t>
        </is>
      </c>
      <c r="O818" s="15" t="inlineStr"/>
    </row>
    <row r="819" ht="20" customHeight="1">
      <c r="A819" s="16" t="inlineStr">
        <is>
          <t>PAEA-CCISM-0818</t>
        </is>
      </c>
      <c r="B819" s="16" t="inlineStr">
        <is>
          <t>912907</t>
        </is>
      </c>
      <c r="C819" s="17" t="inlineStr">
        <is>
          <t>ACEPP PACIFIC</t>
        </is>
      </c>
      <c r="D819" s="17" t="inlineStr">
        <is>
          <t>PAEA PK 24.600 C/MONT 98711 PAEA</t>
        </is>
      </c>
      <c r="E819" s="17" t="inlineStr">
        <is>
          <t>SARL</t>
        </is>
      </c>
      <c r="F819" s="17" t="inlineStr">
        <is>
          <t>Société</t>
        </is>
      </c>
      <c r="G819" s="16" t="inlineStr">
        <is>
          <t>9609Z</t>
        </is>
      </c>
      <c r="H819" s="16" t="inlineStr">
        <is>
          <t>S</t>
        </is>
      </c>
      <c r="I819" s="17" t="inlineStr">
        <is>
          <t>Services</t>
        </is>
      </c>
      <c r="J819" s="18" t="n">
        <v>0</v>
      </c>
      <c r="K819" s="18" t="n">
        <v>1</v>
      </c>
      <c r="L819" s="17" t="inlineStr">
        <is>
          <t>09 204 B</t>
        </is>
      </c>
      <c r="M819" s="17" t="inlineStr">
        <is>
          <t>M BIZIEN YANN TANAHERE TEINA</t>
        </is>
      </c>
      <c r="N819" s="17" t="inlineStr">
        <is>
          <t>Gérant</t>
        </is>
      </c>
      <c r="O819" s="18" t="inlineStr">
        <is>
          <t>17930</t>
        </is>
      </c>
    </row>
    <row r="820" ht="20" customHeight="1">
      <c r="A820" s="13" t="inlineStr">
        <is>
          <t>PAEA-CCISM-0819</t>
        </is>
      </c>
      <c r="B820" s="13" t="inlineStr">
        <is>
          <t>715813</t>
        </is>
      </c>
      <c r="C820" s="14" t="inlineStr">
        <is>
          <t>ACOUSTIQUE DISTRIBUTION SERVICE</t>
        </is>
      </c>
      <c r="D820" s="14" t="inlineStr">
        <is>
          <t>ROUTE DE CEINTURE 98711 PAEA</t>
        </is>
      </c>
      <c r="E820" s="14" t="inlineStr">
        <is>
          <t>SARL</t>
        </is>
      </c>
      <c r="F820" s="14" t="inlineStr">
        <is>
          <t>Société</t>
        </is>
      </c>
      <c r="G820" s="13" t="inlineStr">
        <is>
          <t>7112B</t>
        </is>
      </c>
      <c r="H820" s="13" t="inlineStr">
        <is>
          <t>S</t>
        </is>
      </c>
      <c r="I820" s="14" t="inlineStr">
        <is>
          <t>Services</t>
        </is>
      </c>
      <c r="J820" s="15" t="n">
        <v>16</v>
      </c>
      <c r="K820" s="15" t="n">
        <v>3</v>
      </c>
      <c r="L820" s="14" t="inlineStr">
        <is>
          <t>04 467 B</t>
        </is>
      </c>
      <c r="M820" s="14" t="inlineStr">
        <is>
          <t>M LOPEZ JEAN-RAPHAEL</t>
        </is>
      </c>
      <c r="N820" s="14" t="inlineStr">
        <is>
          <t>Gérant</t>
        </is>
      </c>
      <c r="O820" s="15" t="inlineStr">
        <is>
          <t>17935</t>
        </is>
      </c>
    </row>
    <row r="821" ht="20" customHeight="1">
      <c r="A821" s="16" t="inlineStr">
        <is>
          <t>PAEA-CCISM-0820</t>
        </is>
      </c>
      <c r="B821" s="16" t="inlineStr">
        <is>
          <t>A58518</t>
        </is>
      </c>
      <c r="C821" s="17" t="inlineStr">
        <is>
          <t>AHINI HEIRANI</t>
        </is>
      </c>
      <c r="D821" s="17" t="inlineStr">
        <is>
          <t>LOT CHAPMAN 98711 PAEA</t>
        </is>
      </c>
      <c r="E821" s="17" t="inlineStr">
        <is>
          <t>Patenté (Personne Physique)</t>
        </is>
      </c>
      <c r="F821" s="17" t="inlineStr">
        <is>
          <t>Patenté</t>
        </is>
      </c>
      <c r="G821" s="16" t="inlineStr">
        <is>
          <t>9609Z</t>
        </is>
      </c>
      <c r="H821" s="16" t="inlineStr">
        <is>
          <t>S</t>
        </is>
      </c>
      <c r="I821" s="17" t="inlineStr">
        <is>
          <t>Services</t>
        </is>
      </c>
      <c r="J821" s="18" t="n">
        <v>0</v>
      </c>
      <c r="K821" s="18" t="n">
        <v>1</v>
      </c>
      <c r="L821" s="17" t="inlineStr">
        <is>
          <t>13 336 A</t>
        </is>
      </c>
      <c r="M821" s="17" t="inlineStr">
        <is>
          <t>Mme AHINI HEIRANI</t>
        </is>
      </c>
      <c r="N821" s="17" t="inlineStr">
        <is>
          <t>Chef d entreprise</t>
        </is>
      </c>
      <c r="O821" s="18" t="inlineStr">
        <is>
          <t>18021</t>
        </is>
      </c>
    </row>
    <row r="822" ht="20" customHeight="1">
      <c r="A822" s="13" t="inlineStr">
        <is>
          <t>PAEA-CCISM-0821</t>
        </is>
      </c>
      <c r="B822" s="13" t="inlineStr">
        <is>
          <t>E18349</t>
        </is>
      </c>
      <c r="C822" s="14" t="inlineStr">
        <is>
          <t>AH-SCHA NEE BOURNE VAINANI, BIANCA</t>
        </is>
      </c>
      <c r="D822" s="14" t="inlineStr">
        <is>
          <t>VALLEE OROFERO LOT 11 98711 PAEA</t>
        </is>
      </c>
      <c r="E822" s="14" t="inlineStr">
        <is>
          <t>Patenté (Personne Physique)</t>
        </is>
      </c>
      <c r="F822" s="14" t="inlineStr">
        <is>
          <t>Patenté</t>
        </is>
      </c>
      <c r="G822" s="13" t="inlineStr">
        <is>
          <t>8299Z</t>
        </is>
      </c>
      <c r="H822" s="13" t="inlineStr">
        <is>
          <t>S</t>
        </is>
      </c>
      <c r="I822" s="14" t="inlineStr">
        <is>
          <t>Services</t>
        </is>
      </c>
      <c r="J822" s="15" t="n">
        <v>0</v>
      </c>
      <c r="K822" s="15" t="n">
        <v>1</v>
      </c>
      <c r="L822" s="14" t="inlineStr">
        <is>
          <t>21 1119 A</t>
        </is>
      </c>
      <c r="M822" s="14" t="inlineStr">
        <is>
          <t>Mme AH-SCHA (Née BOURNE) VAINANI, BIANCA</t>
        </is>
      </c>
      <c r="N822" s="14" t="inlineStr">
        <is>
          <t>Chef d entreprise</t>
        </is>
      </c>
      <c r="O822" s="15" t="inlineStr">
        <is>
          <t>18040</t>
        </is>
      </c>
    </row>
    <row r="823" ht="20" customHeight="1">
      <c r="A823" s="16" t="inlineStr">
        <is>
          <t>PAEA-CCISM-0822</t>
        </is>
      </c>
      <c r="B823" s="16" t="inlineStr">
        <is>
          <t>A96237</t>
        </is>
      </c>
      <c r="C823" s="17" t="inlineStr">
        <is>
          <t>AHUPU MONOIHERE</t>
        </is>
      </c>
      <c r="D823" s="17" t="inlineStr">
        <is>
          <t>98711 PAEA</t>
        </is>
      </c>
      <c r="E823" s="17" t="inlineStr">
        <is>
          <t>Patenté (Personne Physique)</t>
        </is>
      </c>
      <c r="F823" s="17" t="inlineStr">
        <is>
          <t>Patenté</t>
        </is>
      </c>
      <c r="G823" s="16" t="inlineStr">
        <is>
          <t>8710A</t>
        </is>
      </c>
      <c r="H823" s="16" t="inlineStr">
        <is>
          <t>S</t>
        </is>
      </c>
      <c r="I823" s="17" t="inlineStr">
        <is>
          <t>Services</t>
        </is>
      </c>
      <c r="J823" s="18" t="n">
        <v>0</v>
      </c>
      <c r="K823" s="18" t="n">
        <v>1</v>
      </c>
      <c r="L823" s="17" t="inlineStr">
        <is>
          <t>23 673 A</t>
        </is>
      </c>
      <c r="M823" s="17" t="inlineStr">
        <is>
          <t>Mme AHUPU MONOIHERE</t>
        </is>
      </c>
      <c r="N823" s="17" t="inlineStr">
        <is>
          <t>Chef d entreprise</t>
        </is>
      </c>
      <c r="O823" s="18" t="inlineStr">
        <is>
          <t>18044</t>
        </is>
      </c>
    </row>
    <row r="824" ht="20" customHeight="1">
      <c r="A824" s="13" t="inlineStr">
        <is>
          <t>PAEA-CCISM-0823</t>
        </is>
      </c>
      <c r="B824" s="13" t="inlineStr">
        <is>
          <t>E52124</t>
        </is>
      </c>
      <c r="C824" s="14" t="inlineStr">
        <is>
          <t>AHUTORU MEHEATA</t>
        </is>
      </c>
      <c r="D824" s="14" t="inlineStr">
        <is>
          <t>98711 PAEA</t>
        </is>
      </c>
      <c r="E824" s="14" t="inlineStr">
        <is>
          <t>Patenté (Personne Physique)</t>
        </is>
      </c>
      <c r="F824" s="14" t="inlineStr">
        <is>
          <t>Patenté</t>
        </is>
      </c>
      <c r="G824" s="13" t="inlineStr">
        <is>
          <t>8690F</t>
        </is>
      </c>
      <c r="H824" s="13" t="inlineStr">
        <is>
          <t>S</t>
        </is>
      </c>
      <c r="I824" s="14" t="inlineStr">
        <is>
          <t>Services</t>
        </is>
      </c>
      <c r="J824" s="15" t="n">
        <v>0</v>
      </c>
      <c r="K824" s="15" t="n">
        <v>1</v>
      </c>
      <c r="L824" s="14" t="inlineStr">
        <is>
          <t>21 3025 A</t>
        </is>
      </c>
      <c r="M824" s="14" t="inlineStr">
        <is>
          <t>Mme AHUTORU MEHEATA</t>
        </is>
      </c>
      <c r="N824" s="14" t="inlineStr">
        <is>
          <t>Chef d entreprise</t>
        </is>
      </c>
      <c r="O824" s="15" t="inlineStr">
        <is>
          <t>18046</t>
        </is>
      </c>
    </row>
    <row r="825" ht="20" customHeight="1">
      <c r="A825" s="16" t="inlineStr">
        <is>
          <t>PAEA-CCISM-0824</t>
        </is>
      </c>
      <c r="B825" s="16" t="inlineStr">
        <is>
          <t>G38483</t>
        </is>
      </c>
      <c r="C825" s="17" t="inlineStr">
        <is>
          <t>ALOMA CL 28</t>
        </is>
      </c>
      <c r="D825" s="17" t="inlineStr">
        <is>
          <t>RES WHITE PLAGE APPT B05 98711 PAEA</t>
        </is>
      </c>
      <c r="E825" s="17" t="inlineStr">
        <is>
          <t>SAS</t>
        </is>
      </c>
      <c r="F825" s="17" t="inlineStr">
        <is>
          <t>Société</t>
        </is>
      </c>
      <c r="G825" s="16" t="inlineStr">
        <is>
          <t>6820A</t>
        </is>
      </c>
      <c r="H825" s="16" t="inlineStr">
        <is>
          <t>S</t>
        </is>
      </c>
      <c r="I825" s="17" t="inlineStr">
        <is>
          <t>Services</t>
        </is>
      </c>
      <c r="J825" s="18" t="n">
        <v>0</v>
      </c>
      <c r="K825" s="18" t="n">
        <v>1</v>
      </c>
      <c r="L825" s="17" t="inlineStr">
        <is>
          <t>25 173 B</t>
        </is>
      </c>
      <c r="M825" s="17" t="inlineStr">
        <is>
          <t>Mme LANCELIN CHRISTELLE</t>
        </is>
      </c>
      <c r="N825" s="17" t="inlineStr">
        <is>
          <t>Président de SAS</t>
        </is>
      </c>
      <c r="O825" s="18" t="inlineStr">
        <is>
          <t>18156</t>
        </is>
      </c>
    </row>
    <row r="826" ht="20" customHeight="1">
      <c r="A826" s="13" t="inlineStr">
        <is>
          <t>PAEA-CCISM-0825</t>
        </is>
      </c>
      <c r="B826" s="13" t="inlineStr">
        <is>
          <t>E90793</t>
        </is>
      </c>
      <c r="C826" s="14" t="inlineStr">
        <is>
          <t>AMARU ERIC</t>
        </is>
      </c>
      <c r="D826" s="14" t="inlineStr">
        <is>
          <t>SERVITUDE TOETOE 98711 PAEA</t>
        </is>
      </c>
      <c r="E826" s="14" t="inlineStr">
        <is>
          <t>Patenté (Personne Physique)</t>
        </is>
      </c>
      <c r="F826" s="14" t="inlineStr">
        <is>
          <t>Patenté</t>
        </is>
      </c>
      <c r="G826" s="13" t="inlineStr">
        <is>
          <t>5520Z</t>
        </is>
      </c>
      <c r="H826" s="13" t="inlineStr">
        <is>
          <t>S</t>
        </is>
      </c>
      <c r="I826" s="14" t="inlineStr">
        <is>
          <t>Services</t>
        </is>
      </c>
      <c r="J826" s="15" t="n">
        <v>0</v>
      </c>
      <c r="K826" s="15" t="n">
        <v>1</v>
      </c>
      <c r="L826" s="14" t="inlineStr">
        <is>
          <t>22 2562 A</t>
        </is>
      </c>
      <c r="M826" s="14" t="inlineStr">
        <is>
          <t>M AMARU ERIC</t>
        </is>
      </c>
      <c r="N826" s="14" t="inlineStr">
        <is>
          <t>Chef d entreprise</t>
        </is>
      </c>
      <c r="O826" s="15" t="inlineStr">
        <is>
          <t>18179</t>
        </is>
      </c>
    </row>
    <row r="827" ht="20" customHeight="1">
      <c r="A827" s="16" t="inlineStr">
        <is>
          <t>PAEA-CCISM-0826</t>
        </is>
      </c>
      <c r="B827" s="16" t="inlineStr">
        <is>
          <t>A03472</t>
        </is>
      </c>
      <c r="C827" s="17" t="inlineStr">
        <is>
          <t>AMARU KAIPOLANI</t>
        </is>
      </c>
      <c r="D827" s="17" t="inlineStr">
        <is>
          <t>98711 PAEA</t>
        </is>
      </c>
      <c r="E827" s="17" t="inlineStr">
        <is>
          <t>Patenté (Personne Physique)</t>
        </is>
      </c>
      <c r="F827" s="17" t="inlineStr">
        <is>
          <t>Patenté</t>
        </is>
      </c>
      <c r="G827" s="16" t="inlineStr">
        <is>
          <t>5520Z</t>
        </is>
      </c>
      <c r="H827" s="16" t="inlineStr">
        <is>
          <t>S</t>
        </is>
      </c>
      <c r="I827" s="17" t="inlineStr">
        <is>
          <t>Services</t>
        </is>
      </c>
      <c r="J827" s="18" t="n">
        <v>0</v>
      </c>
      <c r="K827" s="18" t="n">
        <v>1</v>
      </c>
      <c r="L827" s="17" t="inlineStr">
        <is>
          <t>18 1885 A</t>
        </is>
      </c>
      <c r="M827" s="17" t="inlineStr">
        <is>
          <t>Mme AMARU KAIPOLANI</t>
        </is>
      </c>
      <c r="N827" s="17" t="inlineStr">
        <is>
          <t>Chef d entreprise</t>
        </is>
      </c>
      <c r="O827" s="18" t="inlineStr">
        <is>
          <t>18183</t>
        </is>
      </c>
    </row>
    <row r="828" ht="20" customHeight="1">
      <c r="A828" s="13" t="inlineStr">
        <is>
          <t>PAEA-CCISM-0827</t>
        </is>
      </c>
      <c r="B828" s="13" t="inlineStr">
        <is>
          <t>D57373</t>
        </is>
      </c>
      <c r="C828" s="14" t="inlineStr">
        <is>
          <t>AMARU NEE MAUNIER DIANE TERAIMAEVA</t>
        </is>
      </c>
      <c r="D828" s="14" t="inlineStr">
        <is>
          <t>APRES GARAGE PAEA 98711 PAEA</t>
        </is>
      </c>
      <c r="E828" s="14" t="inlineStr">
        <is>
          <t>Patenté (Personne Physique)</t>
        </is>
      </c>
      <c r="F828" s="14" t="inlineStr">
        <is>
          <t>Patenté</t>
        </is>
      </c>
      <c r="G828" s="13" t="inlineStr">
        <is>
          <t>8219Z</t>
        </is>
      </c>
      <c r="H828" s="13" t="inlineStr">
        <is>
          <t>S</t>
        </is>
      </c>
      <c r="I828" s="14" t="inlineStr">
        <is>
          <t>Services</t>
        </is>
      </c>
      <c r="J828" s="15" t="n">
        <v>0</v>
      </c>
      <c r="K828" s="15" t="n">
        <v>1</v>
      </c>
      <c r="L828" s="14" t="inlineStr">
        <is>
          <t>20 42 A</t>
        </is>
      </c>
      <c r="M828" s="14" t="inlineStr">
        <is>
          <t>Mme AMARU (Née MAUNIER) DIANE TERAIMAEVA</t>
        </is>
      </c>
      <c r="N828" s="14" t="inlineStr">
        <is>
          <t>Chef d entreprise</t>
        </is>
      </c>
      <c r="O828" s="15" t="inlineStr">
        <is>
          <t>18189</t>
        </is>
      </c>
    </row>
    <row r="829" ht="20" customHeight="1">
      <c r="A829" s="16" t="inlineStr">
        <is>
          <t>PAEA-CCISM-0828</t>
        </is>
      </c>
      <c r="B829" s="16" t="inlineStr">
        <is>
          <t>F79505</t>
        </is>
      </c>
      <c r="C829" s="17" t="inlineStr">
        <is>
          <t>AMARU OTIME</t>
        </is>
      </c>
      <c r="D829" s="17" t="inlineStr">
        <is>
          <t>98711 PAEA</t>
        </is>
      </c>
      <c r="E829" s="17" t="inlineStr">
        <is>
          <t>Patenté (Personne Physique)</t>
        </is>
      </c>
      <c r="F829" s="17" t="inlineStr">
        <is>
          <t>Patenté</t>
        </is>
      </c>
      <c r="G829" s="16" t="inlineStr">
        <is>
          <t>4941B</t>
        </is>
      </c>
      <c r="H829" s="16" t="inlineStr">
        <is>
          <t>S</t>
        </is>
      </c>
      <c r="I829" s="17" t="inlineStr">
        <is>
          <t>Services</t>
        </is>
      </c>
      <c r="J829" s="18" t="n">
        <v>0</v>
      </c>
      <c r="K829" s="18" t="n">
        <v>1</v>
      </c>
      <c r="L829" s="17" t="inlineStr">
        <is>
          <t>24 991 A</t>
        </is>
      </c>
      <c r="M829" s="17" t="inlineStr">
        <is>
          <t>Mme AMARU OTIME</t>
        </is>
      </c>
      <c r="N829" s="17" t="inlineStr">
        <is>
          <t>Chef d entreprise</t>
        </is>
      </c>
      <c r="O829" s="18" t="inlineStr">
        <is>
          <t>18193</t>
        </is>
      </c>
    </row>
    <row r="830" ht="20" customHeight="1">
      <c r="A830" s="13" t="inlineStr">
        <is>
          <t>PAEA-CCISM-0829</t>
        </is>
      </c>
      <c r="B830" s="13" t="inlineStr">
        <is>
          <t>F63111</t>
        </is>
      </c>
      <c r="C830" s="14" t="inlineStr">
        <is>
          <t>AMARU PUROTU NAXUANJA</t>
        </is>
      </c>
      <c r="D830" s="14" t="inlineStr">
        <is>
          <t>LOT N°13 LOTISSEMENT VAITERUPE 98711 PAEA</t>
        </is>
      </c>
      <c r="E830" s="14" t="inlineStr">
        <is>
          <t>Patenté (Personne Physique)</t>
        </is>
      </c>
      <c r="F830" s="14" t="inlineStr">
        <is>
          <t>Patenté</t>
        </is>
      </c>
      <c r="G830" s="13" t="inlineStr">
        <is>
          <t>7021Z</t>
        </is>
      </c>
      <c r="H830" s="13" t="inlineStr">
        <is>
          <t>S</t>
        </is>
      </c>
      <c r="I830" s="14" t="inlineStr">
        <is>
          <t>Services</t>
        </is>
      </c>
      <c r="J830" s="15" t="n">
        <v>0</v>
      </c>
      <c r="K830" s="15" t="n">
        <v>1</v>
      </c>
      <c r="L830" s="14" t="inlineStr">
        <is>
          <t>23 3273 A</t>
        </is>
      </c>
      <c r="M830" s="14" t="inlineStr">
        <is>
          <t>Mme AMARU PUROTU NAXUANJA</t>
        </is>
      </c>
      <c r="N830" s="14" t="inlineStr">
        <is>
          <t>Chef d entreprise</t>
        </is>
      </c>
      <c r="O830" s="15" t="inlineStr">
        <is>
          <t>18196</t>
        </is>
      </c>
    </row>
    <row r="831" ht="20" customHeight="1">
      <c r="A831" s="16" t="inlineStr">
        <is>
          <t>PAEA-CCISM-0830</t>
        </is>
      </c>
      <c r="B831" s="16" t="inlineStr">
        <is>
          <t>080226</t>
        </is>
      </c>
      <c r="C831" s="17" t="inlineStr">
        <is>
          <t>AMATAHIAPO ERNEST</t>
        </is>
      </c>
      <c r="D831" s="17" t="inlineStr">
        <is>
          <t>PAEA PK 19.200 C/MONT 98711 PAEA</t>
        </is>
      </c>
      <c r="E831" s="17" t="inlineStr">
        <is>
          <t>Patenté (Personne Physique)</t>
        </is>
      </c>
      <c r="F831" s="17" t="inlineStr">
        <is>
          <t>Patenté</t>
        </is>
      </c>
      <c r="G831" s="16" t="inlineStr">
        <is>
          <t>6820B</t>
        </is>
      </c>
      <c r="H831" s="16" t="inlineStr">
        <is>
          <t>S</t>
        </is>
      </c>
      <c r="I831" s="17" t="inlineStr">
        <is>
          <t>Services</t>
        </is>
      </c>
      <c r="J831" s="18" t="n">
        <v>0</v>
      </c>
      <c r="K831" s="18" t="n">
        <v>1</v>
      </c>
      <c r="L831" s="17" t="inlineStr">
        <is>
          <t>82 262 A</t>
        </is>
      </c>
      <c r="M831" s="17" t="inlineStr">
        <is>
          <t>M AMATAHIAPO ERNEST</t>
        </is>
      </c>
      <c r="N831" s="17" t="inlineStr">
        <is>
          <t>Chef d entreprise</t>
        </is>
      </c>
      <c r="O831" s="18" t="inlineStr">
        <is>
          <t>18206</t>
        </is>
      </c>
    </row>
    <row r="832" ht="20" customHeight="1">
      <c r="A832" s="13" t="inlineStr">
        <is>
          <t>PAEA-CCISM-0831</t>
        </is>
      </c>
      <c r="B832" s="13" t="inlineStr">
        <is>
          <t>E44162</t>
        </is>
      </c>
      <c r="C832" s="14" t="inlineStr">
        <is>
          <t>ANDREU EMMANUELLE MAILYS</t>
        </is>
      </c>
      <c r="D832" s="14" t="inlineStr">
        <is>
          <t>LOT 1 SERV VIHIAURA 98711 PAEA</t>
        </is>
      </c>
      <c r="E832" s="14" t="inlineStr">
        <is>
          <t>Patenté (Personne Physique)</t>
        </is>
      </c>
      <c r="F832" s="14" t="inlineStr">
        <is>
          <t>Patenté</t>
        </is>
      </c>
      <c r="G832" s="13" t="inlineStr">
        <is>
          <t>8690E</t>
        </is>
      </c>
      <c r="H832" s="13" t="inlineStr">
        <is>
          <t>S</t>
        </is>
      </c>
      <c r="I832" s="14" t="inlineStr">
        <is>
          <t>Services</t>
        </is>
      </c>
      <c r="J832" s="15" t="n">
        <v>0</v>
      </c>
      <c r="K832" s="15" t="n">
        <v>1</v>
      </c>
      <c r="L832" s="14" t="inlineStr">
        <is>
          <t>23 2741 A</t>
        </is>
      </c>
      <c r="M832" s="14" t="inlineStr">
        <is>
          <t>Mme ANDREU EMMANUELLE MAILYS</t>
        </is>
      </c>
      <c r="N832" s="14" t="inlineStr">
        <is>
          <t>Chef d entreprise</t>
        </is>
      </c>
      <c r="O832" s="15" t="inlineStr">
        <is>
          <t>18259</t>
        </is>
      </c>
    </row>
    <row r="833" ht="20" customHeight="1">
      <c r="A833" s="16" t="inlineStr">
        <is>
          <t>PAEA-CCISM-0832</t>
        </is>
      </c>
      <c r="B833" s="16" t="inlineStr">
        <is>
          <t>F69167</t>
        </is>
      </c>
      <c r="C833" s="17" t="inlineStr">
        <is>
          <t>ANIHIA NEE MAITIA HINANUI, GAELLE</t>
        </is>
      </c>
      <c r="D833" s="17" t="inlineStr">
        <is>
          <t>N°17 LOTISSEMENT CPS 98711 PAEA</t>
        </is>
      </c>
      <c r="E833" s="17" t="inlineStr">
        <is>
          <t>Patenté (Personne Physique)</t>
        </is>
      </c>
      <c r="F833" s="17" t="inlineStr">
        <is>
          <t>Patenté</t>
        </is>
      </c>
      <c r="G833" s="16" t="inlineStr">
        <is>
          <t>9609Z</t>
        </is>
      </c>
      <c r="H833" s="16" t="inlineStr">
        <is>
          <t>S</t>
        </is>
      </c>
      <c r="I833" s="17" t="inlineStr">
        <is>
          <t>Services</t>
        </is>
      </c>
      <c r="J833" s="18" t="n">
        <v>0</v>
      </c>
      <c r="K833" s="18" t="n">
        <v>1</v>
      </c>
      <c r="L833" s="17" t="inlineStr">
        <is>
          <t>24 219 A</t>
        </is>
      </c>
      <c r="M833" s="17" t="inlineStr">
        <is>
          <t>Mme ANIHIA (Née MAITIA) HINANUI, GAELLE</t>
        </is>
      </c>
      <c r="N833" s="17" t="inlineStr">
        <is>
          <t>Chef d entreprise</t>
        </is>
      </c>
      <c r="O833" s="18" t="inlineStr">
        <is>
          <t>18287</t>
        </is>
      </c>
    </row>
    <row r="834" ht="20" customHeight="1">
      <c r="A834" s="13" t="inlineStr">
        <is>
          <t>PAEA-CCISM-0833</t>
        </is>
      </c>
      <c r="B834" s="13" t="inlineStr">
        <is>
          <t>830240</t>
        </is>
      </c>
      <c r="C834" s="14" t="inlineStr">
        <is>
          <t>APEANG NARATI</t>
        </is>
      </c>
      <c r="D834" s="14" t="inlineStr">
        <is>
          <t>3 RTE DU LOTISSEMENT PAPEHUE LOT N° 98711 PAEA</t>
        </is>
      </c>
      <c r="E834" s="14" t="inlineStr">
        <is>
          <t>Patenté (Personne Physique)</t>
        </is>
      </c>
      <c r="F834" s="14" t="inlineStr">
        <is>
          <t>Patenté</t>
        </is>
      </c>
      <c r="G834" s="13" t="inlineStr">
        <is>
          <t>8891A</t>
        </is>
      </c>
      <c r="H834" s="13" t="inlineStr">
        <is>
          <t>S</t>
        </is>
      </c>
      <c r="I834" s="14" t="inlineStr">
        <is>
          <t>Services</t>
        </is>
      </c>
      <c r="J834" s="15" t="n">
        <v>0</v>
      </c>
      <c r="K834" s="15" t="n">
        <v>1</v>
      </c>
      <c r="L834" s="14" t="inlineStr">
        <is>
          <t>13 1433 A</t>
        </is>
      </c>
      <c r="M834" s="14" t="inlineStr">
        <is>
          <t>Mme APEANG NARATI</t>
        </is>
      </c>
      <c r="N834" s="14" t="inlineStr">
        <is>
          <t>Chef d entreprise</t>
        </is>
      </c>
      <c r="O834" s="15" t="inlineStr">
        <is>
          <t>18317</t>
        </is>
      </c>
    </row>
    <row r="835" ht="20" customHeight="1">
      <c r="A835" s="16" t="inlineStr">
        <is>
          <t>PAEA-CCISM-0834</t>
        </is>
      </c>
      <c r="B835" s="16" t="inlineStr">
        <is>
          <t>940056</t>
        </is>
      </c>
      <c r="C835" s="17" t="inlineStr">
        <is>
          <t>APUARII MOEVAI LIA</t>
        </is>
      </c>
      <c r="D835" s="17" t="inlineStr">
        <is>
          <t>98711 PAEA</t>
        </is>
      </c>
      <c r="E835" s="17" t="inlineStr">
        <is>
          <t>Patenté (Personne Physique)</t>
        </is>
      </c>
      <c r="F835" s="17" t="inlineStr">
        <is>
          <t>Patenté</t>
        </is>
      </c>
      <c r="G835" s="16" t="inlineStr">
        <is>
          <t>7021Z</t>
        </is>
      </c>
      <c r="H835" s="16" t="inlineStr">
        <is>
          <t>S</t>
        </is>
      </c>
      <c r="I835" s="17" t="inlineStr">
        <is>
          <t>Services</t>
        </is>
      </c>
      <c r="J835" s="18" t="n">
        <v>0</v>
      </c>
      <c r="K835" s="18" t="n">
        <v>1</v>
      </c>
      <c r="L835" s="17" t="inlineStr">
        <is>
          <t>21 1837 A</t>
        </is>
      </c>
      <c r="M835" s="17" t="inlineStr">
        <is>
          <t>Mme APUARII MOEVAI LIA</t>
        </is>
      </c>
      <c r="N835" s="17" t="inlineStr">
        <is>
          <t>Chef d entreprise</t>
        </is>
      </c>
      <c r="O835" s="18" t="inlineStr">
        <is>
          <t>18345</t>
        </is>
      </c>
    </row>
    <row r="836" ht="20" customHeight="1">
      <c r="A836" s="13" t="inlineStr">
        <is>
          <t>PAEA-CCISM-0835</t>
        </is>
      </c>
      <c r="B836" s="13" t="inlineStr">
        <is>
          <t>B39383</t>
        </is>
      </c>
      <c r="C836" s="14" t="inlineStr">
        <is>
          <t>ARIIPEU JACQUES</t>
        </is>
      </c>
      <c r="D836" s="14" t="inlineStr">
        <is>
          <t>QUARTIER VAIATU DERRIERE STADE FOOT 98711 PAEA</t>
        </is>
      </c>
      <c r="E836" s="14" t="inlineStr">
        <is>
          <t>Patenté (Personne Physique)</t>
        </is>
      </c>
      <c r="F836" s="14" t="inlineStr">
        <is>
          <t>Patenté</t>
        </is>
      </c>
      <c r="G836" s="13" t="inlineStr">
        <is>
          <t>9001Z</t>
        </is>
      </c>
      <c r="H836" s="13" t="inlineStr">
        <is>
          <t>S</t>
        </is>
      </c>
      <c r="I836" s="14" t="inlineStr">
        <is>
          <t>Services</t>
        </is>
      </c>
      <c r="J836" s="15" t="n">
        <v>0</v>
      </c>
      <c r="K836" s="15" t="n">
        <v>1</v>
      </c>
      <c r="L836" s="14" t="inlineStr">
        <is>
          <t>15 458 A</t>
        </is>
      </c>
      <c r="M836" s="14" t="inlineStr">
        <is>
          <t>M ARIIPEU JACQUES</t>
        </is>
      </c>
      <c r="N836" s="14" t="inlineStr">
        <is>
          <t>Chef d entreprise</t>
        </is>
      </c>
      <c r="O836" s="15" t="inlineStr">
        <is>
          <t>18421</t>
        </is>
      </c>
    </row>
    <row r="837" ht="20" customHeight="1">
      <c r="A837" s="16" t="inlineStr">
        <is>
          <t>PAEA-CCISM-0836</t>
        </is>
      </c>
      <c r="B837" s="16" t="inlineStr">
        <is>
          <t>F91153</t>
        </is>
      </c>
      <c r="C837" s="17" t="inlineStr">
        <is>
          <t>ARUTAHI AXEL</t>
        </is>
      </c>
      <c r="D837" s="17" t="inlineStr">
        <is>
          <t>PROPRIÉTÉ BRILLANT 98711 PAEA</t>
        </is>
      </c>
      <c r="E837" s="17" t="inlineStr">
        <is>
          <t>Patenté (Personne Physique)</t>
        </is>
      </c>
      <c r="F837" s="17" t="inlineStr">
        <is>
          <t>Patenté</t>
        </is>
      </c>
      <c r="G837" s="16" t="inlineStr">
        <is>
          <t>5520Z</t>
        </is>
      </c>
      <c r="H837" s="16" t="inlineStr">
        <is>
          <t>S</t>
        </is>
      </c>
      <c r="I837" s="17" t="inlineStr">
        <is>
          <t>Services</t>
        </is>
      </c>
      <c r="J837" s="18" t="n">
        <v>0</v>
      </c>
      <c r="K837" s="18" t="n">
        <v>1</v>
      </c>
      <c r="L837" s="17" t="inlineStr">
        <is>
          <t>24 1643 A</t>
        </is>
      </c>
      <c r="M837" s="17" t="inlineStr">
        <is>
          <t>M ARUTAHI AXEL</t>
        </is>
      </c>
      <c r="N837" s="17" t="inlineStr">
        <is>
          <t>Chef d entreprise 18457 SERVICE</t>
        </is>
      </c>
      <c r="O837" s="18" t="inlineStr"/>
    </row>
    <row r="838" ht="20" customHeight="1">
      <c r="A838" s="13" t="inlineStr">
        <is>
          <t>PAEA-CCISM-0837</t>
        </is>
      </c>
      <c r="B838" s="13" t="inlineStr">
        <is>
          <t>F07761</t>
        </is>
      </c>
      <c r="C838" s="14" t="inlineStr">
        <is>
          <t>ARUTAHI MAHEALANI</t>
        </is>
      </c>
      <c r="D838" s="14" t="inlineStr">
        <is>
          <t>QUA FAGNEAUX 98711 PAEA</t>
        </is>
      </c>
      <c r="E838" s="14" t="inlineStr">
        <is>
          <t>Patenté (Personne Physique)</t>
        </is>
      </c>
      <c r="F838" s="14" t="inlineStr">
        <is>
          <t>Patenté</t>
        </is>
      </c>
      <c r="G838" s="13" t="inlineStr">
        <is>
          <t>8219Z</t>
        </is>
      </c>
      <c r="H838" s="13" t="inlineStr">
        <is>
          <t>S</t>
        </is>
      </c>
      <c r="I838" s="14" t="inlineStr">
        <is>
          <t>Services</t>
        </is>
      </c>
      <c r="J838" s="15" t="n">
        <v>0</v>
      </c>
      <c r="K838" s="15" t="n">
        <v>1</v>
      </c>
      <c r="L838" s="14" t="inlineStr">
        <is>
          <t>22 3348 A</t>
        </is>
      </c>
      <c r="M838" s="14" t="inlineStr">
        <is>
          <t>Mme ARUTAHI MAHEALANI</t>
        </is>
      </c>
      <c r="N838" s="14" t="inlineStr">
        <is>
          <t>Chef d entreprise</t>
        </is>
      </c>
      <c r="O838" s="15" t="inlineStr">
        <is>
          <t>18458</t>
        </is>
      </c>
    </row>
    <row r="839" ht="20" customHeight="1">
      <c r="A839" s="16" t="inlineStr">
        <is>
          <t>PAEA-CCISM-0838</t>
        </is>
      </c>
      <c r="B839" s="16" t="inlineStr">
        <is>
          <t>B37262</t>
        </is>
      </c>
      <c r="C839" s="17" t="inlineStr">
        <is>
          <t>ARUTAHI MARCEL</t>
        </is>
      </c>
      <c r="D839" s="17" t="inlineStr">
        <is>
          <t>98711 PAEA</t>
        </is>
      </c>
      <c r="E839" s="17" t="inlineStr">
        <is>
          <t>Patenté (Personne Physique)</t>
        </is>
      </c>
      <c r="F839" s="17" t="inlineStr">
        <is>
          <t>Patenté</t>
        </is>
      </c>
      <c r="G839" s="16" t="inlineStr">
        <is>
          <t>4939A</t>
        </is>
      </c>
      <c r="H839" s="16" t="inlineStr">
        <is>
          <t>S</t>
        </is>
      </c>
      <c r="I839" s="17" t="inlineStr">
        <is>
          <t>Services</t>
        </is>
      </c>
      <c r="J839" s="18" t="n">
        <v>0</v>
      </c>
      <c r="K839" s="18" t="n">
        <v>1</v>
      </c>
      <c r="L839" s="17" t="inlineStr">
        <is>
          <t>17 1155 A</t>
        </is>
      </c>
      <c r="M839" s="17" t="inlineStr">
        <is>
          <t>M ARUTAHI MARCEL</t>
        </is>
      </c>
      <c r="N839" s="17" t="inlineStr">
        <is>
          <t>Chef d entreprise</t>
        </is>
      </c>
      <c r="O839" s="18" t="inlineStr">
        <is>
          <t>18459</t>
        </is>
      </c>
    </row>
    <row r="840" ht="20" customHeight="1">
      <c r="A840" s="13" t="inlineStr">
        <is>
          <t>PAEA-CCISM-0839</t>
        </is>
      </c>
      <c r="B840" s="13" t="inlineStr">
        <is>
          <t>F73888</t>
        </is>
      </c>
      <c r="C840" s="14" t="inlineStr">
        <is>
          <t>ARVIEU GILLES</t>
        </is>
      </c>
      <c r="D840" s="14" t="inlineStr">
        <is>
          <t>RES WHITE PLAGE LOT N° 18 - APPT D03 98711 PAEA</t>
        </is>
      </c>
      <c r="E840" s="14" t="inlineStr">
        <is>
          <t>Patenté (Personne Physique)</t>
        </is>
      </c>
      <c r="F840" s="14" t="inlineStr">
        <is>
          <t>Patenté</t>
        </is>
      </c>
      <c r="G840" s="13" t="inlineStr">
        <is>
          <t>5520Z</t>
        </is>
      </c>
      <c r="H840" s="13" t="inlineStr">
        <is>
          <t>S</t>
        </is>
      </c>
      <c r="I840" s="14" t="inlineStr">
        <is>
          <t>Services</t>
        </is>
      </c>
      <c r="J840" s="15" t="n">
        <v>0</v>
      </c>
      <c r="K840" s="15" t="n">
        <v>1</v>
      </c>
      <c r="L840" s="14" t="inlineStr">
        <is>
          <t>24 505 A</t>
        </is>
      </c>
      <c r="M840" s="14" t="inlineStr">
        <is>
          <t>M ARVIEU GILLES</t>
        </is>
      </c>
      <c r="N840" s="14" t="inlineStr">
        <is>
          <t>Chef d entreprise</t>
        </is>
      </c>
      <c r="O840" s="15" t="inlineStr">
        <is>
          <t>18461</t>
        </is>
      </c>
    </row>
    <row r="841" ht="20" customHeight="1">
      <c r="A841" s="16" t="inlineStr">
        <is>
          <t>PAEA-CCISM-0840</t>
        </is>
      </c>
      <c r="B841" s="16" t="inlineStr">
        <is>
          <t>D34596</t>
        </is>
      </c>
      <c r="C841" s="17" t="inlineStr">
        <is>
          <t>'ATA 'ATA</t>
        </is>
      </c>
      <c r="D841" s="17" t="inlineStr">
        <is>
          <t>CENTRE TIAPA 98711 PAEA</t>
        </is>
      </c>
      <c r="E841" s="17" t="inlineStr">
        <is>
          <t>SELARL</t>
        </is>
      </c>
      <c r="F841" s="17" t="inlineStr">
        <is>
          <t>Société</t>
        </is>
      </c>
      <c r="G841" s="16" t="inlineStr">
        <is>
          <t>8623Z</t>
        </is>
      </c>
      <c r="H841" s="16" t="inlineStr">
        <is>
          <t>S</t>
        </is>
      </c>
      <c r="I841" s="17" t="inlineStr">
        <is>
          <t>Services</t>
        </is>
      </c>
      <c r="J841" s="18" t="n">
        <v>3</v>
      </c>
      <c r="K841" s="18" t="n">
        <v>1</v>
      </c>
      <c r="L841" s="17" t="inlineStr">
        <is>
          <t>19 237 B</t>
        </is>
      </c>
      <c r="M841" s="17" t="inlineStr">
        <is>
          <t>Mme CHAMBAUD VIRGINIE</t>
        </is>
      </c>
      <c r="N841" s="17" t="inlineStr">
        <is>
          <t>Gérant</t>
        </is>
      </c>
      <c r="O841" s="18" t="inlineStr">
        <is>
          <t>18476</t>
        </is>
      </c>
    </row>
    <row r="842" ht="20" customHeight="1">
      <c r="A842" s="13" t="inlineStr">
        <is>
          <t>PAEA-CCISM-0841</t>
        </is>
      </c>
      <c r="B842" s="13" t="inlineStr">
        <is>
          <t>F80990</t>
        </is>
      </c>
      <c r="C842" s="14" t="inlineStr">
        <is>
          <t>ATGER REIVA, HEINUI</t>
        </is>
      </c>
      <c r="D842" s="14" t="inlineStr">
        <is>
          <t>LOT N°5A LOT TAREVAREVA OROFERO 98711 PAEA</t>
        </is>
      </c>
      <c r="E842" s="14" t="inlineStr">
        <is>
          <t>Patenté (Personne Physique)</t>
        </is>
      </c>
      <c r="F842" s="14" t="inlineStr">
        <is>
          <t>Patenté</t>
        </is>
      </c>
      <c r="G842" s="13" t="inlineStr">
        <is>
          <t>4939B</t>
        </is>
      </c>
      <c r="H842" s="13" t="inlineStr">
        <is>
          <t>S</t>
        </is>
      </c>
      <c r="I842" s="14" t="inlineStr">
        <is>
          <t>Services</t>
        </is>
      </c>
      <c r="J842" s="15" t="n">
        <v>0</v>
      </c>
      <c r="K842" s="15" t="n">
        <v>1</v>
      </c>
      <c r="L842" s="14" t="inlineStr">
        <is>
          <t>24 992 A</t>
        </is>
      </c>
      <c r="M842" s="14" t="inlineStr">
        <is>
          <t>Mme ATGER REIVA, HEINUI</t>
        </is>
      </c>
      <c r="N842" s="14" t="inlineStr">
        <is>
          <t>Chef d entreprise</t>
        </is>
      </c>
      <c r="O842" s="15" t="inlineStr">
        <is>
          <t>18519</t>
        </is>
      </c>
    </row>
    <row r="843" ht="20" customHeight="1">
      <c r="A843" s="16" t="inlineStr">
        <is>
          <t>PAEA-CCISM-0842</t>
        </is>
      </c>
      <c r="B843" s="16" t="inlineStr">
        <is>
          <t>F43675</t>
        </is>
      </c>
      <c r="C843" s="17" t="inlineStr">
        <is>
          <t>ATGER TUMATARAU KEVIN</t>
        </is>
      </c>
      <c r="D843" s="17" t="inlineStr">
        <is>
          <t>QTR CADOUSTEAU 98711 PAEA</t>
        </is>
      </c>
      <c r="E843" s="17" t="inlineStr">
        <is>
          <t>Patenté (Personne Physique)</t>
        </is>
      </c>
      <c r="F843" s="17" t="inlineStr">
        <is>
          <t>Patenté</t>
        </is>
      </c>
      <c r="G843" s="16" t="inlineStr">
        <is>
          <t>6831Z</t>
        </is>
      </c>
      <c r="H843" s="16" t="inlineStr">
        <is>
          <t>S</t>
        </is>
      </c>
      <c r="I843" s="17" t="inlineStr">
        <is>
          <t>Services</t>
        </is>
      </c>
      <c r="J843" s="18" t="n">
        <v>0</v>
      </c>
      <c r="K843" s="18" t="n">
        <v>1</v>
      </c>
      <c r="L843" s="17" t="inlineStr">
        <is>
          <t>23 1997 A</t>
        </is>
      </c>
      <c r="M843" s="17" t="inlineStr">
        <is>
          <t>M ATGER TUMATARAU KEVIN</t>
        </is>
      </c>
      <c r="N843" s="17" t="inlineStr">
        <is>
          <t>Chef d entreprise</t>
        </is>
      </c>
      <c r="O843" s="18" t="inlineStr">
        <is>
          <t>18523</t>
        </is>
      </c>
    </row>
    <row r="844" ht="20" customHeight="1">
      <c r="A844" s="13" t="inlineStr">
        <is>
          <t>PAEA-CCISM-0843</t>
        </is>
      </c>
      <c r="B844" s="13" t="inlineStr">
        <is>
          <t>B16027</t>
        </is>
      </c>
      <c r="C844" s="14" t="inlineStr">
        <is>
          <t>AUTI VAIHIRIA</t>
        </is>
      </c>
      <c r="D844" s="14" t="inlineStr">
        <is>
          <t>98711 PAEA</t>
        </is>
      </c>
      <c r="E844" s="14" t="inlineStr">
        <is>
          <t>Patenté (Personne Physique)</t>
        </is>
      </c>
      <c r="F844" s="14" t="inlineStr">
        <is>
          <t>Patenté</t>
        </is>
      </c>
      <c r="G844" s="13" t="inlineStr">
        <is>
          <t>9609Z</t>
        </is>
      </c>
      <c r="H844" s="13" t="inlineStr">
        <is>
          <t>S</t>
        </is>
      </c>
      <c r="I844" s="14" t="inlineStr">
        <is>
          <t>Services</t>
        </is>
      </c>
      <c r="J844" s="15" t="n">
        <v>0</v>
      </c>
      <c r="K844" s="15" t="n">
        <v>1</v>
      </c>
      <c r="L844" s="14" t="inlineStr">
        <is>
          <t>14 1365 A</t>
        </is>
      </c>
      <c r="M844" s="14" t="inlineStr">
        <is>
          <t>Mme AUTI VAIHIRIA</t>
        </is>
      </c>
      <c r="N844" s="14" t="inlineStr">
        <is>
          <t>Chef d entreprise</t>
        </is>
      </c>
      <c r="O844" s="15" t="inlineStr">
        <is>
          <t>18597</t>
        </is>
      </c>
    </row>
    <row r="845" ht="20" customHeight="1">
      <c r="A845" s="16" t="inlineStr">
        <is>
          <t>PAEA-CCISM-0844</t>
        </is>
      </c>
      <c r="B845" s="16" t="inlineStr">
        <is>
          <t>F91161</t>
        </is>
      </c>
      <c r="C845" s="17" t="inlineStr">
        <is>
          <t>AVAE ATORA</t>
        </is>
      </c>
      <c r="D845" s="17" t="inlineStr">
        <is>
          <t>N°27 PAPEHUE 98711 PAEA</t>
        </is>
      </c>
      <c r="E845" s="17" t="inlineStr">
        <is>
          <t>Patenté (Personne Physique)</t>
        </is>
      </c>
      <c r="F845" s="17" t="inlineStr">
        <is>
          <t>Patenté</t>
        </is>
      </c>
      <c r="G845" s="16" t="inlineStr">
        <is>
          <t>4619B</t>
        </is>
      </c>
      <c r="H845" s="16" t="inlineStr">
        <is>
          <t>S</t>
        </is>
      </c>
      <c r="I845" s="17" t="inlineStr">
        <is>
          <t>Services</t>
        </is>
      </c>
      <c r="J845" s="18" t="n">
        <v>0</v>
      </c>
      <c r="K845" s="18" t="n">
        <v>1</v>
      </c>
      <c r="L845" s="17" t="inlineStr">
        <is>
          <t>24 1644 A</t>
        </is>
      </c>
      <c r="M845" s="17" t="inlineStr">
        <is>
          <t>Mme AVAE ATORA</t>
        </is>
      </c>
      <c r="N845" s="17" t="inlineStr">
        <is>
          <t>Chef d entreprise</t>
        </is>
      </c>
      <c r="O845" s="18" t="inlineStr">
        <is>
          <t>18610</t>
        </is>
      </c>
    </row>
    <row r="846" ht="20" customHeight="1">
      <c r="A846" s="13" t="inlineStr">
        <is>
          <t>PAEA-CCISM-0845</t>
        </is>
      </c>
      <c r="B846" s="13" t="inlineStr">
        <is>
          <t>A08737</t>
        </is>
      </c>
      <c r="C846" s="14" t="inlineStr">
        <is>
          <t>BARBER JEAN-LOUIS</t>
        </is>
      </c>
      <c r="D846" s="14" t="inlineStr">
        <is>
          <t>SERVITUDE TOTOE 98711 PAEA</t>
        </is>
      </c>
      <c r="E846" s="14" t="inlineStr">
        <is>
          <t>Patenté (Personne Physique)</t>
        </is>
      </c>
      <c r="F846" s="14" t="inlineStr">
        <is>
          <t>Patenté</t>
        </is>
      </c>
      <c r="G846" s="13" t="inlineStr">
        <is>
          <t>7022Z</t>
        </is>
      </c>
      <c r="H846" s="13" t="inlineStr">
        <is>
          <t>S</t>
        </is>
      </c>
      <c r="I846" s="14" t="inlineStr">
        <is>
          <t>Services</t>
        </is>
      </c>
      <c r="J846" s="15" t="n">
        <v>0</v>
      </c>
      <c r="K846" s="15" t="n">
        <v>1</v>
      </c>
      <c r="L846" s="14" t="inlineStr">
        <is>
          <t>22 3443 A</t>
        </is>
      </c>
      <c r="M846" s="14" t="inlineStr">
        <is>
          <t>M BARBER JEAN-LOUIS</t>
        </is>
      </c>
      <c r="N846" s="14" t="inlineStr">
        <is>
          <t>Chef d entreprise</t>
        </is>
      </c>
      <c r="O846" s="15" t="inlineStr">
        <is>
          <t>18701</t>
        </is>
      </c>
    </row>
    <row r="847" ht="20" customHeight="1">
      <c r="A847" s="16" t="inlineStr">
        <is>
          <t>PAEA-CCISM-0846</t>
        </is>
      </c>
      <c r="B847" s="16" t="inlineStr">
        <is>
          <t>A45044</t>
        </is>
      </c>
      <c r="C847" s="17" t="inlineStr">
        <is>
          <t>BARFF VAITIARE</t>
        </is>
      </c>
      <c r="D847" s="17" t="inlineStr">
        <is>
          <t>PAEA PK 26.100 C/MONT - SERV LAPORTE 98711 PAEA</t>
        </is>
      </c>
      <c r="E847" s="17" t="inlineStr">
        <is>
          <t>Patenté (Personne Physique)</t>
        </is>
      </c>
      <c r="F847" s="17" t="inlineStr">
        <is>
          <t>Patenté</t>
        </is>
      </c>
      <c r="G847" s="16" t="inlineStr">
        <is>
          <t>9604Z</t>
        </is>
      </c>
      <c r="H847" s="16" t="inlineStr">
        <is>
          <t>S</t>
        </is>
      </c>
      <c r="I847" s="17" t="inlineStr">
        <is>
          <t>Services</t>
        </is>
      </c>
      <c r="J847" s="18" t="n">
        <v>0</v>
      </c>
      <c r="K847" s="18" t="n">
        <v>1</v>
      </c>
      <c r="L847" s="17" t="inlineStr">
        <is>
          <t>12 1882 A</t>
        </is>
      </c>
      <c r="M847" s="17" t="inlineStr">
        <is>
          <t>Mme BARFF VAITIARE</t>
        </is>
      </c>
      <c r="N847" s="17" t="inlineStr">
        <is>
          <t>Chef d entreprise</t>
        </is>
      </c>
      <c r="O847" s="18" t="inlineStr">
        <is>
          <t>18726</t>
        </is>
      </c>
    </row>
    <row r="848" ht="20" customHeight="1">
      <c r="A848" s="13" t="inlineStr">
        <is>
          <t>PAEA-CCISM-0847</t>
        </is>
      </c>
      <c r="B848" s="13" t="inlineStr">
        <is>
          <t>F43469</t>
        </is>
      </c>
      <c r="C848" s="14" t="inlineStr">
        <is>
          <t>BARSINAS JEAN MARIE</t>
        </is>
      </c>
      <c r="D848" s="14" t="inlineStr">
        <is>
          <t>LOT 26 98711 PAEA</t>
        </is>
      </c>
      <c r="E848" s="14" t="inlineStr">
        <is>
          <t>Patenté (Personne Physique)</t>
        </is>
      </c>
      <c r="F848" s="14" t="inlineStr">
        <is>
          <t>Patenté</t>
        </is>
      </c>
      <c r="G848" s="13" t="inlineStr">
        <is>
          <t>8559A</t>
        </is>
      </c>
      <c r="H848" s="13" t="inlineStr">
        <is>
          <t>S</t>
        </is>
      </c>
      <c r="I848" s="14" t="inlineStr">
        <is>
          <t>Services</t>
        </is>
      </c>
      <c r="J848" s="15" t="n">
        <v>0</v>
      </c>
      <c r="K848" s="15" t="n">
        <v>1</v>
      </c>
      <c r="L848" s="14" t="inlineStr">
        <is>
          <t>23 3314 A</t>
        </is>
      </c>
      <c r="M848" s="14" t="inlineStr">
        <is>
          <t>M BARSINAS JEAN MARIE</t>
        </is>
      </c>
      <c r="N848" s="14" t="inlineStr">
        <is>
          <t>Chef d entreprise</t>
        </is>
      </c>
      <c r="O848" s="15" t="inlineStr">
        <is>
          <t>18752</t>
        </is>
      </c>
    </row>
    <row r="849" ht="20" customHeight="1">
      <c r="A849" s="16" t="inlineStr">
        <is>
          <t>PAEA-CCISM-0848</t>
        </is>
      </c>
      <c r="B849" s="16" t="inlineStr">
        <is>
          <t>155606</t>
        </is>
      </c>
      <c r="C849" s="17" t="inlineStr">
        <is>
          <t>BARSINAS PIERRE-MARIE</t>
        </is>
      </c>
      <c r="D849" s="17" t="inlineStr">
        <is>
          <t>98711 PAEA</t>
        </is>
      </c>
      <c r="E849" s="17" t="inlineStr">
        <is>
          <t>Patenté (Personne Physique)</t>
        </is>
      </c>
      <c r="F849" s="17" t="inlineStr">
        <is>
          <t>Patenté</t>
        </is>
      </c>
      <c r="G849" s="16" t="inlineStr">
        <is>
          <t>9609Z</t>
        </is>
      </c>
      <c r="H849" s="16" t="inlineStr">
        <is>
          <t>S</t>
        </is>
      </c>
      <c r="I849" s="17" t="inlineStr">
        <is>
          <t>Services</t>
        </is>
      </c>
      <c r="J849" s="18" t="n">
        <v>0</v>
      </c>
      <c r="K849" s="18" t="n">
        <v>1</v>
      </c>
      <c r="L849" s="17" t="inlineStr">
        <is>
          <t>14 1083 A</t>
        </is>
      </c>
      <c r="M849" s="17" t="inlineStr">
        <is>
          <t>M BARSINAS PIERRE-MARIE</t>
        </is>
      </c>
      <c r="N849" s="17" t="inlineStr">
        <is>
          <t>Chef d entreprise</t>
        </is>
      </c>
      <c r="O849" s="18" t="inlineStr">
        <is>
          <t>18764</t>
        </is>
      </c>
    </row>
    <row r="850" ht="20" customHeight="1">
      <c r="A850" s="13" t="inlineStr">
        <is>
          <t>PAEA-CCISM-0849</t>
        </is>
      </c>
      <c r="B850" s="13" t="inlineStr">
        <is>
          <t>B99080</t>
        </is>
      </c>
      <c r="C850" s="14" t="inlineStr">
        <is>
          <t>BARSINAS TAHIATOHOATUA</t>
        </is>
      </c>
      <c r="D850" s="14" t="inlineStr">
        <is>
          <t>QT MARAETEFAU 98711 PAEA</t>
        </is>
      </c>
      <c r="E850" s="14" t="inlineStr">
        <is>
          <t>Patenté (Personne Physique)</t>
        </is>
      </c>
      <c r="F850" s="14" t="inlineStr">
        <is>
          <t>Patenté</t>
        </is>
      </c>
      <c r="G850" s="13" t="inlineStr">
        <is>
          <t>9609Z</t>
        </is>
      </c>
      <c r="H850" s="13" t="inlineStr">
        <is>
          <t>S</t>
        </is>
      </c>
      <c r="I850" s="14" t="inlineStr">
        <is>
          <t>Services</t>
        </is>
      </c>
      <c r="J850" s="15" t="n">
        <v>0</v>
      </c>
      <c r="K850" s="15" t="n">
        <v>1</v>
      </c>
      <c r="L850" s="14" t="inlineStr">
        <is>
          <t>16 1555 A</t>
        </is>
      </c>
      <c r="M850" s="14" t="inlineStr">
        <is>
          <t>Mme BARSINAS TAHIATOHOATUA</t>
        </is>
      </c>
      <c r="N850" s="14" t="inlineStr">
        <is>
          <t>Chef d entreprise</t>
        </is>
      </c>
      <c r="O850" s="15" t="inlineStr">
        <is>
          <t>18767</t>
        </is>
      </c>
    </row>
    <row r="851" ht="20" customHeight="1">
      <c r="A851" s="16" t="inlineStr">
        <is>
          <t>PAEA-CCISM-0850</t>
        </is>
      </c>
      <c r="B851" s="16" t="inlineStr">
        <is>
          <t>F10062</t>
        </is>
      </c>
      <c r="C851" s="17" t="inlineStr">
        <is>
          <t>BASTOS HITIAVAE</t>
        </is>
      </c>
      <c r="D851" s="17" t="inlineStr">
        <is>
          <t>VALLEE OROFERO OROFERO - TERRE RAIPAI 2 ET 3 98711 PAEA</t>
        </is>
      </c>
      <c r="E851" s="17" t="inlineStr">
        <is>
          <t>Patenté (Personne Physique)</t>
        </is>
      </c>
      <c r="F851" s="17" t="inlineStr">
        <is>
          <t>Patenté</t>
        </is>
      </c>
      <c r="G851" s="16" t="inlineStr">
        <is>
          <t>5320Z</t>
        </is>
      </c>
      <c r="H851" s="16" t="inlineStr">
        <is>
          <t>S</t>
        </is>
      </c>
      <c r="I851" s="17" t="inlineStr">
        <is>
          <t>Services</t>
        </is>
      </c>
      <c r="J851" s="18" t="n">
        <v>0</v>
      </c>
      <c r="K851" s="18" t="n">
        <v>1</v>
      </c>
      <c r="L851" s="17" t="inlineStr">
        <is>
          <t>22 3418 A</t>
        </is>
      </c>
      <c r="M851" s="17" t="inlineStr">
        <is>
          <t>M BASTOS HITIAVAE</t>
        </is>
      </c>
      <c r="N851" s="17" t="inlineStr">
        <is>
          <t>Chef d entreprise</t>
        </is>
      </c>
      <c r="O851" s="18" t="inlineStr">
        <is>
          <t>18785</t>
        </is>
      </c>
    </row>
    <row r="852" ht="20" customHeight="1">
      <c r="A852" s="13" t="inlineStr">
        <is>
          <t>PAEA-CCISM-0851</t>
        </is>
      </c>
      <c r="B852" s="13" t="inlineStr">
        <is>
          <t>F18776</t>
        </is>
      </c>
      <c r="C852" s="14" t="inlineStr">
        <is>
          <t>BEGON REMI-CELESTIN</t>
        </is>
      </c>
      <c r="D852" s="14" t="inlineStr">
        <is>
          <t>(LOT 28) - RTE DU MARAE ARAHURAHU 98711 PAEA</t>
        </is>
      </c>
      <c r="E852" s="14" t="inlineStr">
        <is>
          <t>Patenté (Personne Physique)</t>
        </is>
      </c>
      <c r="F852" s="14" t="inlineStr">
        <is>
          <t>Patenté</t>
        </is>
      </c>
      <c r="G852" s="13" t="inlineStr">
        <is>
          <t>0161Z</t>
        </is>
      </c>
      <c r="H852" s="13" t="inlineStr">
        <is>
          <t>S</t>
        </is>
      </c>
      <c r="I852" s="14" t="inlineStr">
        <is>
          <t>Services</t>
        </is>
      </c>
      <c r="J852" s="15" t="n">
        <v>0</v>
      </c>
      <c r="K852" s="15" t="n">
        <v>1</v>
      </c>
      <c r="L852" s="14" t="inlineStr">
        <is>
          <t>23 471 A</t>
        </is>
      </c>
      <c r="M852" s="14" t="inlineStr">
        <is>
          <t>M BEGON REMI-CELESTIN</t>
        </is>
      </c>
      <c r="N852" s="14" t="inlineStr">
        <is>
          <t>Chef d entreprise</t>
        </is>
      </c>
      <c r="O852" s="15" t="inlineStr">
        <is>
          <t>18840</t>
        </is>
      </c>
    </row>
    <row r="853" ht="20" customHeight="1">
      <c r="A853" s="16" t="inlineStr">
        <is>
          <t>PAEA-CCISM-0852</t>
        </is>
      </c>
      <c r="B853" s="16" t="inlineStr">
        <is>
          <t>A44740</t>
        </is>
      </c>
      <c r="C853" s="17" t="inlineStr">
        <is>
          <t>BELISTAN CORINNE</t>
        </is>
      </c>
      <c r="D853" s="17" t="inlineStr">
        <is>
          <t>RTE STADE MANU URA SERV MUNA 98711 PAEA</t>
        </is>
      </c>
      <c r="E853" s="17" t="inlineStr">
        <is>
          <t>Patenté (Personne Physique)</t>
        </is>
      </c>
      <c r="F853" s="17" t="inlineStr">
        <is>
          <t>Patenté</t>
        </is>
      </c>
      <c r="G853" s="16" t="inlineStr">
        <is>
          <t>8690F</t>
        </is>
      </c>
      <c r="H853" s="16" t="inlineStr">
        <is>
          <t>S</t>
        </is>
      </c>
      <c r="I853" s="17" t="inlineStr">
        <is>
          <t>Services</t>
        </is>
      </c>
      <c r="J853" s="18" t="n">
        <v>0</v>
      </c>
      <c r="K853" s="18" t="n">
        <v>1</v>
      </c>
      <c r="L853" s="17" t="inlineStr">
        <is>
          <t>16 2552 A</t>
        </is>
      </c>
      <c r="M853" s="17" t="inlineStr">
        <is>
          <t>Mme BELISTAN CORINNE</t>
        </is>
      </c>
      <c r="N853" s="17" t="inlineStr">
        <is>
          <t>Chef d entreprise</t>
        </is>
      </c>
      <c r="O853" s="18" t="inlineStr">
        <is>
          <t>18852</t>
        </is>
      </c>
    </row>
    <row r="854" ht="20" customHeight="1">
      <c r="A854" s="13" t="inlineStr">
        <is>
          <t>PAEA-CCISM-0853</t>
        </is>
      </c>
      <c r="B854" s="13" t="inlineStr">
        <is>
          <t>B34954</t>
        </is>
      </c>
      <c r="C854" s="14" t="inlineStr">
        <is>
          <t>BENJAMIN ALEXANDRE STEPHANE</t>
        </is>
      </c>
      <c r="D854" s="14" t="inlineStr">
        <is>
          <t>LOTIS BAMBRIDGE PAEHAU (1) 98711 PAEA</t>
        </is>
      </c>
      <c r="E854" s="14" t="inlineStr">
        <is>
          <t>Patenté (Personne Physique)</t>
        </is>
      </c>
      <c r="F854" s="14" t="inlineStr">
        <is>
          <t>Patenté</t>
        </is>
      </c>
      <c r="G854" s="13" t="inlineStr">
        <is>
          <t>6910Z</t>
        </is>
      </c>
      <c r="H854" s="13" t="inlineStr">
        <is>
          <t>S</t>
        </is>
      </c>
      <c r="I854" s="14" t="inlineStr">
        <is>
          <t>Services</t>
        </is>
      </c>
      <c r="J854" s="15" t="n">
        <v>0</v>
      </c>
      <c r="K854" s="15" t="n">
        <v>1</v>
      </c>
      <c r="L854" s="14" t="inlineStr">
        <is>
          <t>15 70 A</t>
        </is>
      </c>
      <c r="M854" s="14" t="inlineStr">
        <is>
          <t>M BENJAMIN ALEXANDRE STEPHANE</t>
        </is>
      </c>
      <c r="N854" s="14" t="inlineStr">
        <is>
          <t>Chef d entreprise</t>
        </is>
      </c>
      <c r="O854" s="15" t="inlineStr">
        <is>
          <t>18894</t>
        </is>
      </c>
    </row>
    <row r="855" ht="20" customHeight="1">
      <c r="A855" s="16" t="inlineStr">
        <is>
          <t>PAEA-CCISM-0854</t>
        </is>
      </c>
      <c r="B855" s="16" t="inlineStr">
        <is>
          <t>F22539</t>
        </is>
      </c>
      <c r="C855" s="17" t="inlineStr">
        <is>
          <t>BENJAMIN TEHANI CLÉMENCE</t>
        </is>
      </c>
      <c r="D855" s="17" t="inlineStr">
        <is>
          <t>VAITUPA 98711 PAEA</t>
        </is>
      </c>
      <c r="E855" s="17" t="inlineStr">
        <is>
          <t>Patenté (Personne Physique)</t>
        </is>
      </c>
      <c r="F855" s="17" t="inlineStr">
        <is>
          <t>Patenté</t>
        </is>
      </c>
      <c r="G855" s="16" t="inlineStr">
        <is>
          <t>5911B</t>
        </is>
      </c>
      <c r="H855" s="16" t="inlineStr">
        <is>
          <t>S</t>
        </is>
      </c>
      <c r="I855" s="17" t="inlineStr">
        <is>
          <t>Services</t>
        </is>
      </c>
      <c r="J855" s="18" t="n">
        <v>0</v>
      </c>
      <c r="K855" s="18" t="n">
        <v>1</v>
      </c>
      <c r="L855" s="17" t="inlineStr">
        <is>
          <t>23 2819 A</t>
        </is>
      </c>
      <c r="M855" s="17" t="inlineStr">
        <is>
          <t>Mme BENJAMIN TEHANI CLÉMENCE</t>
        </is>
      </c>
      <c r="N855" s="17" t="inlineStr">
        <is>
          <t>Chef d entreprise</t>
        </is>
      </c>
      <c r="O855" s="18" t="inlineStr">
        <is>
          <t>18895</t>
        </is>
      </c>
    </row>
    <row r="856" ht="20" customHeight="1">
      <c r="A856" s="13" t="inlineStr">
        <is>
          <t>PAEA-CCISM-0855</t>
        </is>
      </c>
      <c r="B856" s="13" t="inlineStr">
        <is>
          <t>749317</t>
        </is>
      </c>
      <c r="C856" s="14" t="inlineStr">
        <is>
          <t>BENOIT THIERRY JEAN</t>
        </is>
      </c>
      <c r="D856" s="14" t="inlineStr">
        <is>
          <t>PAEA PK 19.800 C/MONT 98711 PAEA</t>
        </is>
      </c>
      <c r="E856" s="14" t="inlineStr">
        <is>
          <t>Patenté (Personne Physique)</t>
        </is>
      </c>
      <c r="F856" s="14" t="inlineStr">
        <is>
          <t>Patenté</t>
        </is>
      </c>
      <c r="G856" s="13" t="inlineStr">
        <is>
          <t>5912Z</t>
        </is>
      </c>
      <c r="H856" s="13" t="inlineStr">
        <is>
          <t>S</t>
        </is>
      </c>
      <c r="I856" s="14" t="inlineStr">
        <is>
          <t>Services</t>
        </is>
      </c>
      <c r="J856" s="15" t="n">
        <v>0</v>
      </c>
      <c r="K856" s="15" t="n">
        <v>1</v>
      </c>
      <c r="L856" s="14" t="inlineStr">
        <is>
          <t>05 1412 A</t>
        </is>
      </c>
      <c r="M856" s="14" t="inlineStr">
        <is>
          <t>M BENOIT THIERRY JEAN</t>
        </is>
      </c>
      <c r="N856" s="14" t="inlineStr">
        <is>
          <t>Chef d entreprise 18923 SERVICE</t>
        </is>
      </c>
      <c r="O856" s="15" t="inlineStr"/>
    </row>
    <row r="857" ht="20" customHeight="1">
      <c r="A857" s="16" t="inlineStr">
        <is>
          <t>PAEA-CCISM-0856</t>
        </is>
      </c>
      <c r="B857" s="16" t="inlineStr">
        <is>
          <t>828210</t>
        </is>
      </c>
      <c r="C857" s="17" t="inlineStr">
        <is>
          <t>BICHON NEE MARCHAIS ARMELLE</t>
        </is>
      </c>
      <c r="D857" s="17" t="inlineStr">
        <is>
          <t>SERVITUDE HEITIARE 98711 PAEA</t>
        </is>
      </c>
      <c r="E857" s="17" t="inlineStr">
        <is>
          <t>Patenté (Personne Physique)</t>
        </is>
      </c>
      <c r="F857" s="17" t="inlineStr">
        <is>
          <t>Patenté</t>
        </is>
      </c>
      <c r="G857" s="16" t="inlineStr">
        <is>
          <t>8299Z</t>
        </is>
      </c>
      <c r="H857" s="16" t="inlineStr">
        <is>
          <t>S</t>
        </is>
      </c>
      <c r="I857" s="17" t="inlineStr">
        <is>
          <t>Services</t>
        </is>
      </c>
      <c r="J857" s="18" t="n">
        <v>0</v>
      </c>
      <c r="K857" s="18" t="n">
        <v>1</v>
      </c>
      <c r="L857" s="17" t="inlineStr">
        <is>
          <t>15 630 A</t>
        </is>
      </c>
      <c r="M857" s="17" t="inlineStr">
        <is>
          <t>Mme BICHON (Née MARCHAIS) ARMELLE</t>
        </is>
      </c>
      <c r="N857" s="17" t="inlineStr">
        <is>
          <t>Chef d entreprise</t>
        </is>
      </c>
      <c r="O857" s="18" t="inlineStr">
        <is>
          <t>19027</t>
        </is>
      </c>
    </row>
    <row r="858" ht="20" customHeight="1">
      <c r="A858" s="13" t="inlineStr">
        <is>
          <t>PAEA-CCISM-0857</t>
        </is>
      </c>
      <c r="B858" s="13" t="inlineStr">
        <is>
          <t>A61975</t>
        </is>
      </c>
      <c r="C858" s="14" t="inlineStr">
        <is>
          <t>BIRRI CAROLINE MARIE ANNA</t>
        </is>
      </c>
      <c r="D858" s="14" t="inlineStr">
        <is>
          <t>N°782 98711 PAEA</t>
        </is>
      </c>
      <c r="E858" s="14" t="inlineStr">
        <is>
          <t>Patenté (Personne Physique)</t>
        </is>
      </c>
      <c r="F858" s="14" t="inlineStr">
        <is>
          <t>Patenté</t>
        </is>
      </c>
      <c r="G858" s="13" t="inlineStr">
        <is>
          <t>7022Z</t>
        </is>
      </c>
      <c r="H858" s="13" t="inlineStr">
        <is>
          <t>S</t>
        </is>
      </c>
      <c r="I858" s="14" t="inlineStr">
        <is>
          <t>Services</t>
        </is>
      </c>
      <c r="J858" s="15" t="n">
        <v>0</v>
      </c>
      <c r="K858" s="15" t="n">
        <v>1</v>
      </c>
      <c r="L858" s="14" t="inlineStr">
        <is>
          <t>24 1268 A</t>
        </is>
      </c>
      <c r="M858" s="14" t="inlineStr">
        <is>
          <t>Mme BIRRI CAROLINE MARIE ANNA</t>
        </is>
      </c>
      <c r="N858" s="14" t="inlineStr">
        <is>
          <t>Chef d entreprise</t>
        </is>
      </c>
      <c r="O858" s="15" t="inlineStr">
        <is>
          <t>19059</t>
        </is>
      </c>
    </row>
    <row r="859" ht="20" customHeight="1">
      <c r="A859" s="16" t="inlineStr">
        <is>
          <t>PAEA-CCISM-0858</t>
        </is>
      </c>
      <c r="B859" s="16" t="inlineStr">
        <is>
          <t>B40498</t>
        </is>
      </c>
      <c r="C859" s="17" t="inlineStr">
        <is>
          <t>BLACKSTONE PRODUCTIONS</t>
        </is>
      </c>
      <c r="D859" s="17" t="inlineStr">
        <is>
          <t>RES LES BOUGAINVILLIERS N°1 98711 PAEA</t>
        </is>
      </c>
      <c r="E859" s="17" t="inlineStr">
        <is>
          <t>SARL</t>
        </is>
      </c>
      <c r="F859" s="17" t="inlineStr">
        <is>
          <t>Société</t>
        </is>
      </c>
      <c r="G859" s="16" t="inlineStr">
        <is>
          <t>5911B</t>
        </is>
      </c>
      <c r="H859" s="16" t="inlineStr">
        <is>
          <t>S</t>
        </is>
      </c>
      <c r="I859" s="17" t="inlineStr">
        <is>
          <t>Services</t>
        </is>
      </c>
      <c r="J859" s="18" t="n">
        <v>0</v>
      </c>
      <c r="K859" s="18" t="n">
        <v>1</v>
      </c>
      <c r="L859" s="17" t="inlineStr">
        <is>
          <t>15 53 B</t>
        </is>
      </c>
      <c r="M859" s="17" t="inlineStr">
        <is>
          <t>M LOUIS JEAN-SEBASTIEN MOANA</t>
        </is>
      </c>
      <c r="N859" s="17" t="inlineStr">
        <is>
          <t>Gérant</t>
        </is>
      </c>
      <c r="O859" s="18" t="inlineStr">
        <is>
          <t>19069</t>
        </is>
      </c>
    </row>
    <row r="860" ht="20" customHeight="1">
      <c r="A860" s="13" t="inlineStr">
        <is>
          <t>PAEA-CCISM-0859</t>
        </is>
      </c>
      <c r="B860" s="13" t="inlineStr">
        <is>
          <t>A75603</t>
        </is>
      </c>
      <c r="C860" s="14" t="inlineStr">
        <is>
          <t>BLUE PARADISE TOURS</t>
        </is>
      </c>
      <c r="D860" s="14" t="inlineStr">
        <is>
          <t>VALLEE DE OROFERO 98711 PAEA</t>
        </is>
      </c>
      <c r="E860" s="14" t="inlineStr">
        <is>
          <t>SARL</t>
        </is>
      </c>
      <c r="F860" s="14" t="inlineStr">
        <is>
          <t>Société</t>
        </is>
      </c>
      <c r="G860" s="13" t="inlineStr">
        <is>
          <t>4939B</t>
        </is>
      </c>
      <c r="H860" s="13" t="inlineStr">
        <is>
          <t>S</t>
        </is>
      </c>
      <c r="I860" s="14" t="inlineStr">
        <is>
          <t>Services</t>
        </is>
      </c>
      <c r="J860" s="15" t="n">
        <v>6</v>
      </c>
      <c r="K860" s="15" t="n">
        <v>2</v>
      </c>
      <c r="L860" s="14" t="inlineStr">
        <is>
          <t>13 171 B</t>
        </is>
      </c>
      <c r="M860" s="14" t="inlineStr">
        <is>
          <t>M BONNARD GREGORY RENE</t>
        </is>
      </c>
      <c r="N860" s="14" t="inlineStr">
        <is>
          <t>Gérant et associé indéfiniment responsa</t>
        </is>
      </c>
      <c r="O860" s="15" t="inlineStr">
        <is>
          <t>19107</t>
        </is>
      </c>
    </row>
    <row r="861" ht="20" customHeight="1">
      <c r="A861" s="16" t="inlineStr">
        <is>
          <t>PAEA-CCISM-0860</t>
        </is>
      </c>
      <c r="B861" s="16" t="inlineStr">
        <is>
          <t>603381</t>
        </is>
      </c>
      <c r="C861" s="17" t="inlineStr">
        <is>
          <t>BOLARD MARC ANDRE</t>
        </is>
      </c>
      <c r="D861" s="17" t="inlineStr">
        <is>
          <t>102 LOT PAPEHUE 98711 PAEA</t>
        </is>
      </c>
      <c r="E861" s="17" t="inlineStr">
        <is>
          <t>Patenté (Personne Physique)</t>
        </is>
      </c>
      <c r="F861" s="17" t="inlineStr">
        <is>
          <t>Patenté</t>
        </is>
      </c>
      <c r="G861" s="16" t="inlineStr">
        <is>
          <t>6201Z</t>
        </is>
      </c>
      <c r="H861" s="16" t="inlineStr">
        <is>
          <t>S</t>
        </is>
      </c>
      <c r="I861" s="17" t="inlineStr">
        <is>
          <t>Services</t>
        </is>
      </c>
      <c r="J861" s="18" t="n">
        <v>0</v>
      </c>
      <c r="K861" s="18" t="n">
        <v>1</v>
      </c>
      <c r="L861" s="17" t="inlineStr">
        <is>
          <t>17 592 A</t>
        </is>
      </c>
      <c r="M861" s="17" t="inlineStr">
        <is>
          <t>M BOLARD MARC ANDRE</t>
        </is>
      </c>
      <c r="N861" s="17" t="inlineStr">
        <is>
          <t>Chef d entreprise</t>
        </is>
      </c>
      <c r="O861" s="18" t="inlineStr">
        <is>
          <t>19143</t>
        </is>
      </c>
    </row>
    <row r="862" ht="20" customHeight="1">
      <c r="A862" s="13" t="inlineStr">
        <is>
          <t>PAEA-CCISM-0861</t>
        </is>
      </c>
      <c r="B862" s="13" t="inlineStr">
        <is>
          <t>D84666</t>
        </is>
      </c>
      <c r="C862" s="14" t="inlineStr">
        <is>
          <t>BOLARD NEE PORTE MARIE-ANGE</t>
        </is>
      </c>
      <c r="D862" s="14" t="inlineStr">
        <is>
          <t>LOT 102 RTE DU LOTISSEMENT PAPEHUE 98711 PAEA</t>
        </is>
      </c>
      <c r="E862" s="14" t="inlineStr">
        <is>
          <t>Patenté (Personne Physique)</t>
        </is>
      </c>
      <c r="F862" s="14" t="inlineStr">
        <is>
          <t>Patenté</t>
        </is>
      </c>
      <c r="G862" s="13" t="inlineStr">
        <is>
          <t>7021Z</t>
        </is>
      </c>
      <c r="H862" s="13" t="inlineStr">
        <is>
          <t>S</t>
        </is>
      </c>
      <c r="I862" s="14" t="inlineStr">
        <is>
          <t>Services</t>
        </is>
      </c>
      <c r="J862" s="15" t="n">
        <v>0</v>
      </c>
      <c r="K862" s="15" t="n">
        <v>1</v>
      </c>
      <c r="L862" s="14" t="inlineStr">
        <is>
          <t>20 1702 A</t>
        </is>
      </c>
      <c r="M862" s="14" t="inlineStr">
        <is>
          <t>Mme BOLARD (Née PORTE) MARIE-ANGE</t>
        </is>
      </c>
      <c r="N862" s="14" t="inlineStr">
        <is>
          <t>Chef d entreprise</t>
        </is>
      </c>
      <c r="O862" s="15" t="inlineStr">
        <is>
          <t>19144</t>
        </is>
      </c>
    </row>
    <row r="863" ht="20" customHeight="1">
      <c r="A863" s="16" t="inlineStr">
        <is>
          <t>PAEA-CCISM-0862</t>
        </is>
      </c>
      <c r="B863" s="16" t="inlineStr">
        <is>
          <t>E53023</t>
        </is>
      </c>
      <c r="C863" s="17" t="inlineStr">
        <is>
          <t>BORA SEA SIDE</t>
        </is>
      </c>
      <c r="D863" s="17" t="inlineStr">
        <is>
          <t>DEXTER LOT 7 DU LOT 2 98711 PAEA</t>
        </is>
      </c>
      <c r="E863" s="17" t="inlineStr">
        <is>
          <t>SARL</t>
        </is>
      </c>
      <c r="F863" s="17" t="inlineStr">
        <is>
          <t>Société</t>
        </is>
      </c>
      <c r="G863" s="16" t="inlineStr">
        <is>
          <t>6420Z</t>
        </is>
      </c>
      <c r="H863" s="16" t="inlineStr">
        <is>
          <t>S</t>
        </is>
      </c>
      <c r="I863" s="17" t="inlineStr">
        <is>
          <t>Services</t>
        </is>
      </c>
      <c r="J863" s="18" t="n">
        <v>0</v>
      </c>
      <c r="K863" s="18" t="n">
        <v>1</v>
      </c>
      <c r="L863" s="17" t="inlineStr">
        <is>
          <t>21 346 B</t>
        </is>
      </c>
      <c r="M863" s="17" t="inlineStr">
        <is>
          <t>M WITZ ERIC</t>
        </is>
      </c>
      <c r="N863" s="17" t="inlineStr">
        <is>
          <t>Gérant</t>
        </is>
      </c>
      <c r="O863" s="18" t="inlineStr">
        <is>
          <t>19257</t>
        </is>
      </c>
    </row>
    <row r="864" ht="20" customHeight="1">
      <c r="A864" s="13" t="inlineStr">
        <is>
          <t>PAEA-CCISM-0863</t>
        </is>
      </c>
      <c r="B864" s="13" t="inlineStr">
        <is>
          <t>F41166</t>
        </is>
      </c>
      <c r="C864" s="14" t="inlineStr">
        <is>
          <t>BORDES TEVAHITUA</t>
        </is>
      </c>
      <c r="D864" s="14" t="inlineStr">
        <is>
          <t>RTE DU BASSIN PAPEHUE 98711 PAEA</t>
        </is>
      </c>
      <c r="E864" s="14" t="inlineStr">
        <is>
          <t>Patenté (Personne Physique)</t>
        </is>
      </c>
      <c r="F864" s="14" t="inlineStr">
        <is>
          <t>Patenté</t>
        </is>
      </c>
      <c r="G864" s="13" t="inlineStr">
        <is>
          <t>7022Z</t>
        </is>
      </c>
      <c r="H864" s="13" t="inlineStr">
        <is>
          <t>S</t>
        </is>
      </c>
      <c r="I864" s="14" t="inlineStr">
        <is>
          <t>Services</t>
        </is>
      </c>
      <c r="J864" s="15" t="n">
        <v>0</v>
      </c>
      <c r="K864" s="15" t="n">
        <v>1</v>
      </c>
      <c r="L864" s="14" t="inlineStr">
        <is>
          <t>23 1854 A</t>
        </is>
      </c>
      <c r="M864" s="14" t="inlineStr">
        <is>
          <t>M BORDES TEVAHITUA</t>
        </is>
      </c>
      <c r="N864" s="14" t="inlineStr">
        <is>
          <t>Chef d entreprise</t>
        </is>
      </c>
      <c r="O864" s="15" t="inlineStr">
        <is>
          <t>19271</t>
        </is>
      </c>
    </row>
    <row r="865" ht="20" customHeight="1">
      <c r="A865" s="16" t="inlineStr">
        <is>
          <t>PAEA-CCISM-0864</t>
        </is>
      </c>
      <c r="B865" s="16" t="inlineStr">
        <is>
          <t>E89399</t>
        </is>
      </c>
      <c r="C865" s="17" t="inlineStr">
        <is>
          <t>BORIS BARANDIARAN BEATRIZ PAZ</t>
        </is>
      </c>
      <c r="D865" s="17" t="inlineStr">
        <is>
          <t>RTE SERVITUDE TEIOATUA 98711 PAEA</t>
        </is>
      </c>
      <c r="E865" s="17" t="inlineStr">
        <is>
          <t>Patenté (Personne Physique)</t>
        </is>
      </c>
      <c r="F865" s="17" t="inlineStr">
        <is>
          <t>Patenté</t>
        </is>
      </c>
      <c r="G865" s="16" t="inlineStr">
        <is>
          <t>9609Z</t>
        </is>
      </c>
      <c r="H865" s="16" t="inlineStr">
        <is>
          <t>S</t>
        </is>
      </c>
      <c r="I865" s="17" t="inlineStr">
        <is>
          <t>Services</t>
        </is>
      </c>
      <c r="J865" s="18" t="n">
        <v>0</v>
      </c>
      <c r="K865" s="18" t="n">
        <v>1</v>
      </c>
      <c r="L865" s="17" t="inlineStr">
        <is>
          <t>22 2025 A</t>
        </is>
      </c>
      <c r="M865" s="17" t="inlineStr">
        <is>
          <t>Mme BORIS BARANDIARAN BEATRIZ PAZ</t>
        </is>
      </c>
      <c r="N865" s="17" t="inlineStr">
        <is>
          <t>Chef d entreprise</t>
        </is>
      </c>
      <c r="O865" s="18" t="inlineStr">
        <is>
          <t>19281</t>
        </is>
      </c>
    </row>
    <row r="866" ht="20" customHeight="1">
      <c r="A866" s="13" t="inlineStr">
        <is>
          <t>PAEA-CCISM-0865</t>
        </is>
      </c>
      <c r="B866" s="13" t="inlineStr">
        <is>
          <t>E55184</t>
        </is>
      </c>
      <c r="C866" s="14" t="inlineStr">
        <is>
          <t>BOUABID NEE LESPRIT PASCALINE</t>
        </is>
      </c>
      <c r="D866" s="14" t="inlineStr">
        <is>
          <t>98711 PAEA</t>
        </is>
      </c>
      <c r="E866" s="14" t="inlineStr">
        <is>
          <t>Patenté (Personne Physique)</t>
        </is>
      </c>
      <c r="F866" s="14" t="inlineStr">
        <is>
          <t>Patenté</t>
        </is>
      </c>
      <c r="G866" s="13" t="inlineStr">
        <is>
          <t>8891A</t>
        </is>
      </c>
      <c r="H866" s="13" t="inlineStr">
        <is>
          <t>S</t>
        </is>
      </c>
      <c r="I866" s="14" t="inlineStr">
        <is>
          <t>Services</t>
        </is>
      </c>
      <c r="J866" s="15" t="n">
        <v>0</v>
      </c>
      <c r="K866" s="15" t="n">
        <v>1</v>
      </c>
      <c r="L866" s="14" t="inlineStr">
        <is>
          <t>22 2599 A</t>
        </is>
      </c>
      <c r="M866" s="14" t="inlineStr">
        <is>
          <t>Mme BOUABID (Née LESPRIT) PASCALINE</t>
        </is>
      </c>
      <c r="N866" s="14" t="inlineStr">
        <is>
          <t>Chef d entreprise</t>
        </is>
      </c>
      <c r="O866" s="15" t="inlineStr">
        <is>
          <t>19293</t>
        </is>
      </c>
    </row>
    <row r="867" ht="20" customHeight="1">
      <c r="A867" s="16" t="inlineStr">
        <is>
          <t>PAEA-CCISM-0866</t>
        </is>
      </c>
      <c r="B867" s="16" t="inlineStr">
        <is>
          <t>D62415</t>
        </is>
      </c>
      <c r="C867" s="17" t="inlineStr">
        <is>
          <t>BOUGEOIS SANDRINE</t>
        </is>
      </c>
      <c r="D867" s="17" t="inlineStr">
        <is>
          <t>ENTRE AVATEA ET TEMPLE SERV DAUPHIN 2 98711 PAEA</t>
        </is>
      </c>
      <c r="E867" s="17" t="inlineStr">
        <is>
          <t>Patenté (Personne Physique)</t>
        </is>
      </c>
      <c r="F867" s="17" t="inlineStr">
        <is>
          <t>Patenté</t>
        </is>
      </c>
      <c r="G867" s="16" t="inlineStr">
        <is>
          <t>9604Z</t>
        </is>
      </c>
      <c r="H867" s="16" t="inlineStr">
        <is>
          <t>S</t>
        </is>
      </c>
      <c r="I867" s="17" t="inlineStr">
        <is>
          <t>Services</t>
        </is>
      </c>
      <c r="J867" s="18" t="n">
        <v>0</v>
      </c>
      <c r="K867" s="18" t="n">
        <v>1</v>
      </c>
      <c r="L867" s="17" t="inlineStr">
        <is>
          <t>20 370 A</t>
        </is>
      </c>
      <c r="M867" s="17" t="inlineStr">
        <is>
          <t>Mme BOUGEOIS SANDRINE</t>
        </is>
      </c>
      <c r="N867" s="17" t="inlineStr">
        <is>
          <t>Chef d entreprise</t>
        </is>
      </c>
      <c r="O867" s="18" t="inlineStr">
        <is>
          <t>19320</t>
        </is>
      </c>
    </row>
    <row r="868" ht="20" customHeight="1">
      <c r="A868" s="13" t="inlineStr">
        <is>
          <t>PAEA-CCISM-0867</t>
        </is>
      </c>
      <c r="B868" s="13" t="inlineStr">
        <is>
          <t>E77600</t>
        </is>
      </c>
      <c r="C868" s="14" t="inlineStr">
        <is>
          <t>BOUIBEB TAKIHEI</t>
        </is>
      </c>
      <c r="D868" s="14" t="inlineStr">
        <is>
          <t>QTR CADOUSTEAU 98711 PAEA</t>
        </is>
      </c>
      <c r="E868" s="14" t="inlineStr">
        <is>
          <t>Patenté (Personne Physique)</t>
        </is>
      </c>
      <c r="F868" s="14" t="inlineStr">
        <is>
          <t>Patenté</t>
        </is>
      </c>
      <c r="G868" s="13" t="inlineStr">
        <is>
          <t>9609Z</t>
        </is>
      </c>
      <c r="H868" s="13" t="inlineStr">
        <is>
          <t>S</t>
        </is>
      </c>
      <c r="I868" s="14" t="inlineStr">
        <is>
          <t>Services</t>
        </is>
      </c>
      <c r="J868" s="15" t="n">
        <v>0</v>
      </c>
      <c r="K868" s="15" t="n">
        <v>1</v>
      </c>
      <c r="L868" s="14" t="inlineStr">
        <is>
          <t>22 1223 A</t>
        </is>
      </c>
      <c r="M868" s="14" t="inlineStr">
        <is>
          <t>Mme BOUIBEB TAKIHEI</t>
        </is>
      </c>
      <c r="N868" s="14" t="inlineStr">
        <is>
          <t>Chef d entreprise</t>
        </is>
      </c>
      <c r="O868" s="15" t="inlineStr">
        <is>
          <t>19330</t>
        </is>
      </c>
    </row>
    <row r="869" ht="20" customHeight="1">
      <c r="A869" s="16" t="inlineStr">
        <is>
          <t>PAEA-CCISM-0868</t>
        </is>
      </c>
      <c r="B869" s="16" t="inlineStr">
        <is>
          <t>D62076</t>
        </is>
      </c>
      <c r="C869" s="17" t="inlineStr">
        <is>
          <t>BOULOC CAROLINE HEITIARE</t>
        </is>
      </c>
      <c r="D869" s="17" t="inlineStr">
        <is>
          <t>RTE DE LA VALLEE OROFERO SRV LABBEYI 98711 PAEA</t>
        </is>
      </c>
      <c r="E869" s="17" t="inlineStr">
        <is>
          <t>Patenté (Personne Physique)</t>
        </is>
      </c>
      <c r="F869" s="17" t="inlineStr">
        <is>
          <t>Patenté</t>
        </is>
      </c>
      <c r="G869" s="16" t="inlineStr">
        <is>
          <t>9609Z</t>
        </is>
      </c>
      <c r="H869" s="16" t="inlineStr">
        <is>
          <t>S</t>
        </is>
      </c>
      <c r="I869" s="17" t="inlineStr">
        <is>
          <t>Services</t>
        </is>
      </c>
      <c r="J869" s="18" t="n">
        <v>0</v>
      </c>
      <c r="K869" s="18" t="n">
        <v>1</v>
      </c>
      <c r="L869" s="17" t="inlineStr">
        <is>
          <t>20 401 A</t>
        </is>
      </c>
      <c r="M869" s="17" t="inlineStr">
        <is>
          <t>Mme BOULOC CAROLINE HEITIARE</t>
        </is>
      </c>
      <c r="N869" s="17" t="inlineStr">
        <is>
          <t>Chef d entreprise</t>
        </is>
      </c>
      <c r="O869" s="18" t="inlineStr">
        <is>
          <t>19346</t>
        </is>
      </c>
    </row>
    <row r="870" ht="20" customHeight="1">
      <c r="A870" s="13" t="inlineStr">
        <is>
          <t>PAEA-CCISM-0869</t>
        </is>
      </c>
      <c r="B870" s="13" t="inlineStr">
        <is>
          <t>894832</t>
        </is>
      </c>
      <c r="C870" s="14" t="inlineStr">
        <is>
          <t>BOUREZ MICHEL</t>
        </is>
      </c>
      <c r="D870" s="14" t="inlineStr">
        <is>
          <t>98711 PAEA</t>
        </is>
      </c>
      <c r="E870" s="14" t="inlineStr">
        <is>
          <t>Patenté (Personne Physique)</t>
        </is>
      </c>
      <c r="F870" s="14" t="inlineStr">
        <is>
          <t>Patenté</t>
        </is>
      </c>
      <c r="G870" s="13" t="inlineStr">
        <is>
          <t>9319Z</t>
        </is>
      </c>
      <c r="H870" s="13" t="inlineStr">
        <is>
          <t>S</t>
        </is>
      </c>
      <c r="I870" s="14" t="inlineStr">
        <is>
          <t>Services</t>
        </is>
      </c>
      <c r="J870" s="15" t="n">
        <v>0</v>
      </c>
      <c r="K870" s="15" t="n">
        <v>1</v>
      </c>
      <c r="L870" s="14" t="inlineStr">
        <is>
          <t>24 1520 A</t>
        </is>
      </c>
      <c r="M870" s="14" t="inlineStr">
        <is>
          <t>M BOUREZ MICHEL</t>
        </is>
      </c>
      <c r="N870" s="14" t="inlineStr">
        <is>
          <t>Chef d entreprise</t>
        </is>
      </c>
      <c r="O870" s="15" t="inlineStr">
        <is>
          <t>19361</t>
        </is>
      </c>
    </row>
    <row r="871" ht="20" customHeight="1">
      <c r="A871" s="16" t="inlineStr">
        <is>
          <t>PAEA-CCISM-0870</t>
        </is>
      </c>
      <c r="B871" s="16" t="inlineStr">
        <is>
          <t>F78416</t>
        </is>
      </c>
      <c r="C871" s="17" t="inlineStr">
        <is>
          <t>BOUREZ NEE LAURENS VAIMITI</t>
        </is>
      </c>
      <c r="D871" s="17" t="inlineStr">
        <is>
          <t>QUARTIER TIAPA 98711 PAEA</t>
        </is>
      </c>
      <c r="E871" s="17" t="inlineStr">
        <is>
          <t>Patenté (Personne Physique)</t>
        </is>
      </c>
      <c r="F871" s="17" t="inlineStr">
        <is>
          <t>Patenté</t>
        </is>
      </c>
      <c r="G871" s="16" t="inlineStr">
        <is>
          <t>9609Z</t>
        </is>
      </c>
      <c r="H871" s="16" t="inlineStr">
        <is>
          <t>S</t>
        </is>
      </c>
      <c r="I871" s="17" t="inlineStr">
        <is>
          <t>Services</t>
        </is>
      </c>
      <c r="J871" s="18" t="n">
        <v>0</v>
      </c>
      <c r="K871" s="18" t="n">
        <v>1</v>
      </c>
      <c r="L871" s="17" t="inlineStr">
        <is>
          <t>24 887 A</t>
        </is>
      </c>
      <c r="M871" s="17" t="inlineStr">
        <is>
          <t>Mme BOUREZ (Née LAURENS) VAIMITI</t>
        </is>
      </c>
      <c r="N871" s="17" t="inlineStr">
        <is>
          <t>Chef d entreprise</t>
        </is>
      </c>
      <c r="O871" s="18" t="inlineStr">
        <is>
          <t>19363</t>
        </is>
      </c>
    </row>
    <row r="872" ht="20" customHeight="1">
      <c r="A872" s="13" t="inlineStr">
        <is>
          <t>PAEA-CCISM-0871</t>
        </is>
      </c>
      <c r="B872" s="13" t="inlineStr">
        <is>
          <t>967190</t>
        </is>
      </c>
      <c r="C872" s="14" t="inlineStr">
        <is>
          <t>BOURGOIN AGNES</t>
        </is>
      </c>
      <c r="D872" s="14" t="inlineStr">
        <is>
          <t>98711 PAEA</t>
        </is>
      </c>
      <c r="E872" s="14" t="inlineStr">
        <is>
          <t>Patenté (Personne Physique)</t>
        </is>
      </c>
      <c r="F872" s="14" t="inlineStr">
        <is>
          <t>Patenté</t>
        </is>
      </c>
      <c r="G872" s="13" t="inlineStr">
        <is>
          <t>8690F</t>
        </is>
      </c>
      <c r="H872" s="13" t="inlineStr">
        <is>
          <t>S</t>
        </is>
      </c>
      <c r="I872" s="14" t="inlineStr">
        <is>
          <t>Services</t>
        </is>
      </c>
      <c r="J872" s="15" t="n">
        <v>0</v>
      </c>
      <c r="K872" s="15" t="n">
        <v>1</v>
      </c>
      <c r="L872" s="14" t="inlineStr">
        <is>
          <t>10 1983 A</t>
        </is>
      </c>
      <c r="M872" s="14" t="inlineStr">
        <is>
          <t>Mme BOURGOIN AGNES</t>
        </is>
      </c>
      <c r="N872" s="14" t="inlineStr">
        <is>
          <t>Chef d entreprise</t>
        </is>
      </c>
      <c r="O872" s="15" t="inlineStr">
        <is>
          <t>19372</t>
        </is>
      </c>
    </row>
    <row r="873" ht="20" customHeight="1">
      <c r="A873" s="16" t="inlineStr">
        <is>
          <t>PAEA-CCISM-0872</t>
        </is>
      </c>
      <c r="B873" s="16" t="inlineStr">
        <is>
          <t>E89407</t>
        </is>
      </c>
      <c r="C873" s="17" t="inlineStr">
        <is>
          <t>BRIGATO ENZO, TAPUNUI</t>
        </is>
      </c>
      <c r="D873" s="17" t="inlineStr">
        <is>
          <t>98711 PAEA</t>
        </is>
      </c>
      <c r="E873" s="17" t="inlineStr">
        <is>
          <t>Patenté (Personne Physique)</t>
        </is>
      </c>
      <c r="F873" s="17" t="inlineStr">
        <is>
          <t>Patenté</t>
        </is>
      </c>
      <c r="G873" s="16" t="inlineStr">
        <is>
          <t>8230Z</t>
        </is>
      </c>
      <c r="H873" s="16" t="inlineStr">
        <is>
          <t>S</t>
        </is>
      </c>
      <c r="I873" s="17" t="inlineStr">
        <is>
          <t>Services</t>
        </is>
      </c>
      <c r="J873" s="18" t="n">
        <v>0</v>
      </c>
      <c r="K873" s="18" t="n">
        <v>1</v>
      </c>
      <c r="L873" s="17" t="inlineStr">
        <is>
          <t>22 2443 A</t>
        </is>
      </c>
      <c r="M873" s="17" t="inlineStr">
        <is>
          <t>M BRIGATO ENZO, TAPUNUI</t>
        </is>
      </c>
      <c r="N873" s="17" t="inlineStr">
        <is>
          <t>Chef d entreprise</t>
        </is>
      </c>
      <c r="O873" s="18" t="inlineStr">
        <is>
          <t>19457</t>
        </is>
      </c>
    </row>
    <row r="874" ht="20" customHeight="1">
      <c r="A874" s="13" t="inlineStr">
        <is>
          <t>PAEA-CCISM-0873</t>
        </is>
      </c>
      <c r="B874" s="13" t="inlineStr">
        <is>
          <t>503839</t>
        </is>
      </c>
      <c r="C874" s="14" t="inlineStr">
        <is>
          <t>BRIGATO NEE LIMINANA LAURENCE</t>
        </is>
      </c>
      <c r="D874" s="14" t="inlineStr">
        <is>
          <t>98711 PAEA</t>
        </is>
      </c>
      <c r="E874" s="14" t="inlineStr">
        <is>
          <t>Patenté (Personne Physique)</t>
        </is>
      </c>
      <c r="F874" s="14" t="inlineStr">
        <is>
          <t>Patenté</t>
        </is>
      </c>
      <c r="G874" s="13" t="inlineStr">
        <is>
          <t>5520Z</t>
        </is>
      </c>
      <c r="H874" s="13" t="inlineStr">
        <is>
          <t>S</t>
        </is>
      </c>
      <c r="I874" s="14" t="inlineStr">
        <is>
          <t>Services</t>
        </is>
      </c>
      <c r="J874" s="15" t="n">
        <v>0</v>
      </c>
      <c r="K874" s="15" t="n">
        <v>1</v>
      </c>
      <c r="L874" s="14" t="inlineStr">
        <is>
          <t>15 265 A</t>
        </is>
      </c>
      <c r="M874" s="14" t="inlineStr">
        <is>
          <t>Mme BRIGATO (Née LIMINANA) LAURENCE</t>
        </is>
      </c>
      <c r="N874" s="14" t="inlineStr">
        <is>
          <t>Chef d entreprise</t>
        </is>
      </c>
      <c r="O874" s="15" t="inlineStr">
        <is>
          <t>19458</t>
        </is>
      </c>
    </row>
    <row r="875" ht="20" customHeight="1">
      <c r="A875" s="16" t="inlineStr">
        <is>
          <t>PAEA-CCISM-0874</t>
        </is>
      </c>
      <c r="B875" s="16" t="inlineStr">
        <is>
          <t>189860</t>
        </is>
      </c>
      <c r="C875" s="17" t="inlineStr">
        <is>
          <t>BRIGATO NICOLAS</t>
        </is>
      </c>
      <c r="D875" s="17" t="inlineStr">
        <is>
          <t>PAEA PK 24 C/MER - QTR ADAMS 98711 PAEA</t>
        </is>
      </c>
      <c r="E875" s="17" t="inlineStr">
        <is>
          <t>Patenté (Personne Physique)</t>
        </is>
      </c>
      <c r="F875" s="17" t="inlineStr">
        <is>
          <t>Patenté</t>
        </is>
      </c>
      <c r="G875" s="16" t="inlineStr">
        <is>
          <t>8129B</t>
        </is>
      </c>
      <c r="H875" s="16" t="inlineStr">
        <is>
          <t>S</t>
        </is>
      </c>
      <c r="I875" s="17" t="inlineStr">
        <is>
          <t>Services</t>
        </is>
      </c>
      <c r="J875" s="18" t="n">
        <v>0</v>
      </c>
      <c r="K875" s="18" t="n">
        <v>1</v>
      </c>
      <c r="L875" s="17" t="inlineStr">
        <is>
          <t>16834 A</t>
        </is>
      </c>
      <c r="M875" s="17" t="inlineStr">
        <is>
          <t>M BRIGATO NICOLAS CLAUDE GEORGES</t>
        </is>
      </c>
      <c r="N875" s="17" t="inlineStr">
        <is>
          <t>19459</t>
        </is>
      </c>
      <c r="O875" s="18" t="inlineStr">
        <is>
          <t>SERVICE</t>
        </is>
      </c>
    </row>
    <row r="876" ht="20" customHeight="1">
      <c r="A876" s="13" t="inlineStr">
        <is>
          <t>PAEA-CCISM-0875</t>
        </is>
      </c>
      <c r="B876" s="13" t="inlineStr">
        <is>
          <t>A50887</t>
        </is>
      </c>
      <c r="C876" s="14" t="inlineStr">
        <is>
          <t>BRILLANT NEE TAHUTINI DHANA</t>
        </is>
      </c>
      <c r="D876" s="14" t="inlineStr">
        <is>
          <t>98711 PAEA</t>
        </is>
      </c>
      <c r="E876" s="14" t="inlineStr">
        <is>
          <t>Patenté (Personne Physique)</t>
        </is>
      </c>
      <c r="F876" s="14" t="inlineStr">
        <is>
          <t>Patenté</t>
        </is>
      </c>
      <c r="G876" s="13" t="inlineStr">
        <is>
          <t>9609Z</t>
        </is>
      </c>
      <c r="H876" s="13" t="inlineStr">
        <is>
          <t>S</t>
        </is>
      </c>
      <c r="I876" s="14" t="inlineStr">
        <is>
          <t>Services</t>
        </is>
      </c>
      <c r="J876" s="15" t="n">
        <v>0</v>
      </c>
      <c r="K876" s="15" t="n">
        <v>1</v>
      </c>
      <c r="L876" s="14" t="inlineStr">
        <is>
          <t>20 1065 A</t>
        </is>
      </c>
      <c r="M876" s="14" t="inlineStr">
        <is>
          <t>Mme BRILLANT (Née TAHUTINI) DHANA</t>
        </is>
      </c>
      <c r="N876" s="14" t="inlineStr">
        <is>
          <t>Chef d entreprise</t>
        </is>
      </c>
      <c r="O876" s="15" t="inlineStr">
        <is>
          <t>19461</t>
        </is>
      </c>
    </row>
    <row r="877" ht="20" customHeight="1">
      <c r="A877" s="16" t="inlineStr">
        <is>
          <t>PAEA-CCISM-0876</t>
        </is>
      </c>
      <c r="B877" s="16" t="inlineStr">
        <is>
          <t>471177</t>
        </is>
      </c>
      <c r="C877" s="17" t="inlineStr">
        <is>
          <t>BRILLAT CLAUS</t>
        </is>
      </c>
      <c r="D877" s="17" t="inlineStr">
        <is>
          <t>PAEA PK 23.200 C/MER 98711 PAEA</t>
        </is>
      </c>
      <c r="E877" s="17" t="inlineStr">
        <is>
          <t>Patenté (Personne Physique)</t>
        </is>
      </c>
      <c r="F877" s="17" t="inlineStr">
        <is>
          <t>Patenté</t>
        </is>
      </c>
      <c r="G877" s="16" t="inlineStr">
        <is>
          <t>7990Z</t>
        </is>
      </c>
      <c r="H877" s="16" t="inlineStr">
        <is>
          <t>S</t>
        </is>
      </c>
      <c r="I877" s="17" t="inlineStr">
        <is>
          <t>Services</t>
        </is>
      </c>
      <c r="J877" s="18" t="n">
        <v>0</v>
      </c>
      <c r="K877" s="18" t="n">
        <v>1</v>
      </c>
      <c r="L877" s="17" t="inlineStr">
        <is>
          <t>32517 A</t>
        </is>
      </c>
      <c r="M877" s="17" t="inlineStr">
        <is>
          <t>M BRILLAT CLAUS</t>
        </is>
      </c>
      <c r="N877" s="17" t="inlineStr">
        <is>
          <t>Chef d entreprise</t>
        </is>
      </c>
      <c r="O877" s="18" t="inlineStr">
        <is>
          <t>19463</t>
        </is>
      </c>
    </row>
    <row r="878" ht="20" customHeight="1">
      <c r="A878" s="13" t="inlineStr">
        <is>
          <t>PAEA-CCISM-0877</t>
        </is>
      </c>
      <c r="B878" s="13" t="inlineStr">
        <is>
          <t>990499</t>
        </is>
      </c>
      <c r="C878" s="14" t="inlineStr">
        <is>
          <t>BROTHERS TEVAHITUA I PATEA ROLAND TAMU</t>
        </is>
      </c>
      <c r="D878" s="14" t="inlineStr">
        <is>
          <t>PAEA PK 22 C/MER 98711 PAEA</t>
        </is>
      </c>
      <c r="E878" s="14" t="inlineStr">
        <is>
          <t>Patenté (Personne Physique)</t>
        </is>
      </c>
      <c r="F878" s="14" t="inlineStr">
        <is>
          <t>Patenté</t>
        </is>
      </c>
      <c r="G878" s="13" t="inlineStr">
        <is>
          <t>9609Z</t>
        </is>
      </c>
      <c r="H878" s="13" t="inlineStr">
        <is>
          <t>S</t>
        </is>
      </c>
      <c r="I878" s="14" t="inlineStr">
        <is>
          <t>Services</t>
        </is>
      </c>
      <c r="J878" s="15" t="n">
        <v>0</v>
      </c>
      <c r="K878" s="15" t="n">
        <v>1</v>
      </c>
      <c r="L878" s="14" t="inlineStr">
        <is>
          <t>11 1174 A</t>
        </is>
      </c>
      <c r="M878" s="14" t="inlineStr">
        <is>
          <t>M BROTHERS TEVAHITUA I PATEA ROLAND TAMU</t>
        </is>
      </c>
      <c r="N878" s="14" t="inlineStr">
        <is>
          <t>Chef d entreprise</t>
        </is>
      </c>
      <c r="O878" s="15" t="inlineStr">
        <is>
          <t>19490</t>
        </is>
      </c>
    </row>
    <row r="879" ht="20" customHeight="1">
      <c r="A879" s="16" t="inlineStr">
        <is>
          <t>PAEA-CCISM-0878</t>
        </is>
      </c>
      <c r="B879" s="16" t="inlineStr">
        <is>
          <t>831149</t>
        </is>
      </c>
      <c r="C879" s="17" t="inlineStr">
        <is>
          <t>BROTHERSON KAREEN</t>
        </is>
      </c>
      <c r="D879" s="17" t="inlineStr">
        <is>
          <t>QUARTIER FAGNEAUX 98711 PAEA</t>
        </is>
      </c>
      <c r="E879" s="17" t="inlineStr">
        <is>
          <t>Patenté (Personne Physique)</t>
        </is>
      </c>
      <c r="F879" s="17" t="inlineStr">
        <is>
          <t>Patenté</t>
        </is>
      </c>
      <c r="G879" s="16" t="inlineStr">
        <is>
          <t>5520Z</t>
        </is>
      </c>
      <c r="H879" s="16" t="inlineStr">
        <is>
          <t>S</t>
        </is>
      </c>
      <c r="I879" s="17" t="inlineStr">
        <is>
          <t>Services</t>
        </is>
      </c>
      <c r="J879" s="18" t="n">
        <v>0</v>
      </c>
      <c r="K879" s="18" t="n">
        <v>1</v>
      </c>
      <c r="L879" s="17" t="inlineStr">
        <is>
          <t>19 2787 A</t>
        </is>
      </c>
      <c r="M879" s="17" t="inlineStr">
        <is>
          <t>Mme BROTHERSON KAREEN</t>
        </is>
      </c>
      <c r="N879" s="17" t="inlineStr">
        <is>
          <t>Chef d entreprise</t>
        </is>
      </c>
      <c r="O879" s="18" t="inlineStr">
        <is>
          <t>19496</t>
        </is>
      </c>
    </row>
    <row r="880" ht="20" customHeight="1">
      <c r="A880" s="13" t="inlineStr">
        <is>
          <t>PAEA-CCISM-0879</t>
        </is>
      </c>
      <c r="B880" s="13" t="inlineStr">
        <is>
          <t>D15918</t>
        </is>
      </c>
      <c r="C880" s="14" t="inlineStr">
        <is>
          <t>BU LUC RAIMANA GLENN</t>
        </is>
      </c>
      <c r="D880" s="14" t="inlineStr">
        <is>
          <t>RTE RESIDENCE LES JARDINS DE PAEA 98711 PAEA</t>
        </is>
      </c>
      <c r="E880" s="14" t="inlineStr">
        <is>
          <t>Patenté (Personne Physique)</t>
        </is>
      </c>
      <c r="F880" s="14" t="inlineStr">
        <is>
          <t>Patenté</t>
        </is>
      </c>
      <c r="G880" s="13" t="inlineStr">
        <is>
          <t>5520Z</t>
        </is>
      </c>
      <c r="H880" s="13" t="inlineStr">
        <is>
          <t>S</t>
        </is>
      </c>
      <c r="I880" s="14" t="inlineStr">
        <is>
          <t>Services</t>
        </is>
      </c>
      <c r="J880" s="15" t="n">
        <v>0</v>
      </c>
      <c r="K880" s="15" t="n">
        <v>1</v>
      </c>
      <c r="L880" s="14" t="inlineStr">
        <is>
          <t>19 496 A</t>
        </is>
      </c>
      <c r="M880" s="14" t="inlineStr">
        <is>
          <t>M BU LUC RAIMANA GLENN</t>
        </is>
      </c>
      <c r="N880" s="14" t="inlineStr">
        <is>
          <t>Chef d entreprise</t>
        </is>
      </c>
      <c r="O880" s="15" t="inlineStr">
        <is>
          <t>19557</t>
        </is>
      </c>
    </row>
    <row r="881" ht="20" customHeight="1">
      <c r="A881" s="16" t="inlineStr">
        <is>
          <t>PAEA-CCISM-0880</t>
        </is>
      </c>
      <c r="B881" s="16" t="inlineStr">
        <is>
          <t>705285</t>
        </is>
      </c>
      <c r="C881" s="17" t="inlineStr">
        <is>
          <t>BURNS THEOPHANE TAURAAHITI</t>
        </is>
      </c>
      <c r="D881" s="17" t="inlineStr">
        <is>
          <t>QUARTIER RURUTU 98711 PAEA</t>
        </is>
      </c>
      <c r="E881" s="17" t="inlineStr">
        <is>
          <t>Patenté (Personne Physique)</t>
        </is>
      </c>
      <c r="F881" s="17" t="inlineStr">
        <is>
          <t>Patenté</t>
        </is>
      </c>
      <c r="G881" s="16" t="inlineStr">
        <is>
          <t>7711A</t>
        </is>
      </c>
      <c r="H881" s="16" t="inlineStr">
        <is>
          <t>S</t>
        </is>
      </c>
      <c r="I881" s="17" t="inlineStr">
        <is>
          <t>Services</t>
        </is>
      </c>
      <c r="J881" s="18" t="n">
        <v>0</v>
      </c>
      <c r="K881" s="18" t="n">
        <v>1</v>
      </c>
      <c r="L881" s="17" t="inlineStr">
        <is>
          <t>12 1885 A</t>
        </is>
      </c>
      <c r="M881" s="17" t="inlineStr">
        <is>
          <t>M BURNS THEOPHANE TAURAAHITI</t>
        </is>
      </c>
      <c r="N881" s="17" t="inlineStr">
        <is>
          <t>Chef d entreprise</t>
        </is>
      </c>
      <c r="O881" s="18" t="inlineStr">
        <is>
          <t>19616</t>
        </is>
      </c>
    </row>
    <row r="882" ht="20" customHeight="1">
      <c r="A882" s="13" t="inlineStr">
        <is>
          <t>PAEA-CCISM-0881</t>
        </is>
      </c>
      <c r="B882" s="13" t="inlineStr">
        <is>
          <t>550640</t>
        </is>
      </c>
      <c r="C882" s="14" t="inlineStr">
        <is>
          <t>C3R</t>
        </is>
      </c>
      <c r="D882" s="14" t="inlineStr">
        <is>
          <t>PAEA PK 23.500 C/MONT - SERV.TOTOE 98711 PAEA</t>
        </is>
      </c>
      <c r="E882" s="14" t="inlineStr">
        <is>
          <t>SARL</t>
        </is>
      </c>
      <c r="F882" s="14" t="inlineStr">
        <is>
          <t>Société</t>
        </is>
      </c>
      <c r="G882" s="13" t="inlineStr">
        <is>
          <t>7112B</t>
        </is>
      </c>
      <c r="H882" s="13" t="inlineStr">
        <is>
          <t>S</t>
        </is>
      </c>
      <c r="I882" s="14" t="inlineStr">
        <is>
          <t>Services</t>
        </is>
      </c>
      <c r="J882" s="15" t="n">
        <v>2</v>
      </c>
      <c r="K882" s="15" t="n">
        <v>1</v>
      </c>
      <c r="L882" s="14" t="inlineStr">
        <is>
          <t>7774 B</t>
        </is>
      </c>
      <c r="M882" s="14" t="inlineStr">
        <is>
          <t>M ROYER LIONEL</t>
        </is>
      </c>
      <c r="N882" s="14" t="inlineStr">
        <is>
          <t>Gérant</t>
        </is>
      </c>
      <c r="O882" s="15" t="inlineStr">
        <is>
          <t>19637</t>
        </is>
      </c>
    </row>
    <row r="883" ht="20" customHeight="1">
      <c r="A883" s="16" t="inlineStr">
        <is>
          <t>PAEA-CCISM-0882</t>
        </is>
      </c>
      <c r="B883" s="16" t="inlineStr">
        <is>
          <t>903120</t>
        </is>
      </c>
      <c r="C883" s="17" t="inlineStr">
        <is>
          <t>CANNONI FRANCESCO</t>
        </is>
      </c>
      <c r="D883" s="17" t="inlineStr">
        <is>
          <t>98711 PAEA</t>
        </is>
      </c>
      <c r="E883" s="17" t="inlineStr">
        <is>
          <t>Patenté (Personne Physique)</t>
        </is>
      </c>
      <c r="F883" s="17" t="inlineStr">
        <is>
          <t>Patenté</t>
        </is>
      </c>
      <c r="G883" s="16" t="inlineStr">
        <is>
          <t>9609Z</t>
        </is>
      </c>
      <c r="H883" s="16" t="inlineStr">
        <is>
          <t>S</t>
        </is>
      </c>
      <c r="I883" s="17" t="inlineStr">
        <is>
          <t>Services</t>
        </is>
      </c>
      <c r="J883" s="18" t="n">
        <v>1</v>
      </c>
      <c r="K883" s="18" t="n">
        <v>1</v>
      </c>
      <c r="L883" s="17" t="inlineStr">
        <is>
          <t>16 237 A</t>
        </is>
      </c>
      <c r="M883" s="17" t="inlineStr">
        <is>
          <t>M CANNONI FRANCESCO</t>
        </is>
      </c>
      <c r="N883" s="17" t="inlineStr">
        <is>
          <t>Chef d entreprise</t>
        </is>
      </c>
      <c r="O883" s="18" t="inlineStr">
        <is>
          <t>19715</t>
        </is>
      </c>
    </row>
    <row r="884" ht="20" customHeight="1">
      <c r="A884" s="13" t="inlineStr">
        <is>
          <t>PAEA-CCISM-0883</t>
        </is>
      </c>
      <c r="B884" s="13" t="inlineStr">
        <is>
          <t>A52552</t>
        </is>
      </c>
      <c r="C884" s="14" t="inlineStr">
        <is>
          <t>CAP INGENIERIE</t>
        </is>
      </c>
      <c r="D884" s="14" t="inlineStr">
        <is>
          <t>PAEA PK 27.300 C/MER - CENTRE TOTOE BE 98711 PAEA</t>
        </is>
      </c>
      <c r="E884" s="14" t="inlineStr">
        <is>
          <t>SARL</t>
        </is>
      </c>
      <c r="F884" s="14" t="inlineStr">
        <is>
          <t>Société</t>
        </is>
      </c>
      <c r="G884" s="13" t="inlineStr">
        <is>
          <t>7112B</t>
        </is>
      </c>
      <c r="H884" s="13" t="inlineStr">
        <is>
          <t>S</t>
        </is>
      </c>
      <c r="I884" s="14" t="inlineStr">
        <is>
          <t>Services</t>
        </is>
      </c>
      <c r="J884" s="15" t="n">
        <v>7</v>
      </c>
      <c r="K884" s="15" t="n">
        <v>2</v>
      </c>
      <c r="L884" s="14" t="inlineStr">
        <is>
          <t>12 284 B</t>
        </is>
      </c>
      <c r="M884" s="14" t="inlineStr">
        <is>
          <t>M DUFOUR CHRISTOPHE RENE</t>
        </is>
      </c>
      <c r="N884" s="14" t="inlineStr">
        <is>
          <t>Gérant</t>
        </is>
      </c>
      <c r="O884" s="15" t="inlineStr">
        <is>
          <t>19723</t>
        </is>
      </c>
    </row>
    <row r="885" ht="20" customHeight="1">
      <c r="A885" s="16" t="inlineStr">
        <is>
          <t>PAEA-CCISM-0884</t>
        </is>
      </c>
      <c r="B885" s="16" t="inlineStr">
        <is>
          <t>E88763</t>
        </is>
      </c>
      <c r="C885" s="17" t="inlineStr">
        <is>
          <t>CAPON-SMIL JADE</t>
        </is>
      </c>
      <c r="D885" s="17" t="inlineStr">
        <is>
          <t>RTE SERVITUDE CADOUSTEAU PK 19,500 98711 PAEA</t>
        </is>
      </c>
      <c r="E885" s="17" t="inlineStr">
        <is>
          <t>Patenté (Personne Physique)</t>
        </is>
      </c>
      <c r="F885" s="17" t="inlineStr">
        <is>
          <t>Patenté</t>
        </is>
      </c>
      <c r="G885" s="16" t="inlineStr">
        <is>
          <t>9609Z</t>
        </is>
      </c>
      <c r="H885" s="16" t="inlineStr">
        <is>
          <t>S</t>
        </is>
      </c>
      <c r="I885" s="17" t="inlineStr">
        <is>
          <t>Services</t>
        </is>
      </c>
      <c r="J885" s="18" t="n">
        <v>0</v>
      </c>
      <c r="K885" s="18" t="n">
        <v>1</v>
      </c>
      <c r="L885" s="17" t="inlineStr">
        <is>
          <t>22 1995 A</t>
        </is>
      </c>
      <c r="M885" s="17" t="inlineStr">
        <is>
          <t>Mme CAPON-SMIL JADE</t>
        </is>
      </c>
      <c r="N885" s="17" t="inlineStr">
        <is>
          <t>Chef d entreprise</t>
        </is>
      </c>
      <c r="O885" s="18" t="inlineStr">
        <is>
          <t>19730</t>
        </is>
      </c>
    </row>
    <row r="886" ht="20" customHeight="1">
      <c r="A886" s="13" t="inlineStr">
        <is>
          <t>PAEA-CCISM-0885</t>
        </is>
      </c>
      <c r="B886" s="13" t="inlineStr">
        <is>
          <t>637751</t>
        </is>
      </c>
      <c r="C886" s="14" t="inlineStr">
        <is>
          <t>CARRASCO FREDERIC JACQUES</t>
        </is>
      </c>
      <c r="D886" s="14" t="inlineStr">
        <is>
          <t>PAEA PK 19.300 C/MER 98711 PAEA</t>
        </is>
      </c>
      <c r="E886" s="14" t="inlineStr">
        <is>
          <t>Patenté (Personne Physique)</t>
        </is>
      </c>
      <c r="F886" s="14" t="inlineStr">
        <is>
          <t>Patenté</t>
        </is>
      </c>
      <c r="G886" s="13" t="inlineStr">
        <is>
          <t>7022Z</t>
        </is>
      </c>
      <c r="H886" s="13" t="inlineStr">
        <is>
          <t>S</t>
        </is>
      </c>
      <c r="I886" s="14" t="inlineStr">
        <is>
          <t>Services</t>
        </is>
      </c>
      <c r="J886" s="15" t="n">
        <v>0</v>
      </c>
      <c r="K886" s="15" t="n">
        <v>1</v>
      </c>
      <c r="L886" s="14" t="inlineStr">
        <is>
          <t>41806 A</t>
        </is>
      </c>
      <c r="M886" s="14" t="inlineStr">
        <is>
          <t>M CARRASCO FREDERIC JACQUES</t>
        </is>
      </c>
      <c r="N886" s="14" t="inlineStr">
        <is>
          <t>Chef d entreprise</t>
        </is>
      </c>
      <c r="O886" s="15" t="inlineStr">
        <is>
          <t>19760</t>
        </is>
      </c>
    </row>
    <row r="887" ht="20" customHeight="1">
      <c r="A887" s="16" t="inlineStr">
        <is>
          <t>PAEA-CCISM-0886</t>
        </is>
      </c>
      <c r="B887" s="16" t="inlineStr">
        <is>
          <t>D15819</t>
        </is>
      </c>
      <c r="C887" s="17" t="inlineStr">
        <is>
          <t>CCT</t>
        </is>
      </c>
      <c r="D887" s="17" t="inlineStr">
        <is>
          <t>LG 5 JAZA 98711 PAEA</t>
        </is>
      </c>
      <c r="E887" s="17" t="inlineStr">
        <is>
          <t>SARL</t>
        </is>
      </c>
      <c r="F887" s="17" t="inlineStr">
        <is>
          <t>Société</t>
        </is>
      </c>
      <c r="G887" s="16" t="inlineStr">
        <is>
          <t>9002Z</t>
        </is>
      </c>
      <c r="H887" s="16" t="inlineStr">
        <is>
          <t>S</t>
        </is>
      </c>
      <c r="I887" s="17" t="inlineStr">
        <is>
          <t>Services</t>
        </is>
      </c>
      <c r="J887" s="18" t="n">
        <v>0</v>
      </c>
      <c r="K887" s="18" t="n">
        <v>1</v>
      </c>
      <c r="L887" s="17" t="inlineStr">
        <is>
          <t>19 80 B</t>
        </is>
      </c>
      <c r="M887" s="17" t="inlineStr">
        <is>
          <t>M ALVES LOUIS</t>
        </is>
      </c>
      <c r="N887" s="17" t="inlineStr">
        <is>
          <t>Gérant et associé indéfiniment responsa</t>
        </is>
      </c>
      <c r="O887" s="18" t="inlineStr">
        <is>
          <t>19813</t>
        </is>
      </c>
    </row>
    <row r="888" ht="20" customHeight="1">
      <c r="A888" s="13" t="inlineStr">
        <is>
          <t>PAEA-CCISM-0887</t>
        </is>
      </c>
      <c r="B888" s="13" t="inlineStr">
        <is>
          <t>216952</t>
        </is>
      </c>
      <c r="C888" s="14" t="inlineStr">
        <is>
          <t>CELLA FREDERIC JEAN</t>
        </is>
      </c>
      <c r="D888" s="14" t="inlineStr">
        <is>
          <t>PAEA 98711 PAEA</t>
        </is>
      </c>
      <c r="E888" s="14" t="inlineStr">
        <is>
          <t>Patenté (Personne Physique)</t>
        </is>
      </c>
      <c r="F888" s="14" t="inlineStr">
        <is>
          <t>Patenté</t>
        </is>
      </c>
      <c r="G888" s="13" t="inlineStr">
        <is>
          <t>5520Z</t>
        </is>
      </c>
      <c r="H888" s="13" t="inlineStr">
        <is>
          <t>S</t>
        </is>
      </c>
      <c r="I888" s="14" t="inlineStr">
        <is>
          <t>Services</t>
        </is>
      </c>
      <c r="J888" s="15" t="n">
        <v>1</v>
      </c>
      <c r="K888" s="15" t="n">
        <v>1</v>
      </c>
      <c r="L888" s="14" t="inlineStr">
        <is>
          <t>24199 A</t>
        </is>
      </c>
      <c r="M888" s="14" t="inlineStr">
        <is>
          <t>M CELLA FREDERIC JEAN</t>
        </is>
      </c>
      <c r="N888" s="14" t="inlineStr">
        <is>
          <t>Chef d entreprise</t>
        </is>
      </c>
      <c r="O888" s="15" t="inlineStr">
        <is>
          <t>19820</t>
        </is>
      </c>
    </row>
    <row r="889" ht="20" customHeight="1">
      <c r="A889" s="16" t="inlineStr">
        <is>
          <t>PAEA-CCISM-0888</t>
        </is>
      </c>
      <c r="B889" s="16" t="inlineStr">
        <is>
          <t>758458</t>
        </is>
      </c>
      <c r="C889" s="17" t="inlineStr">
        <is>
          <t>CHAN EDA TAMARA</t>
        </is>
      </c>
      <c r="D889" s="17" t="inlineStr">
        <is>
          <t>SERVITUDE PIED G2 98711 PAEA</t>
        </is>
      </c>
      <c r="E889" s="17" t="inlineStr">
        <is>
          <t>Patenté (Personne Physique)</t>
        </is>
      </c>
      <c r="F889" s="17" t="inlineStr">
        <is>
          <t>Patenté</t>
        </is>
      </c>
      <c r="G889" s="16" t="inlineStr">
        <is>
          <t>5520Z</t>
        </is>
      </c>
      <c r="H889" s="16" t="inlineStr">
        <is>
          <t>S</t>
        </is>
      </c>
      <c r="I889" s="17" t="inlineStr">
        <is>
          <t>Services</t>
        </is>
      </c>
      <c r="J889" s="18" t="n">
        <v>0</v>
      </c>
      <c r="K889" s="18" t="n">
        <v>1</v>
      </c>
      <c r="L889" s="17" t="inlineStr">
        <is>
          <t>18 2451 A</t>
        </is>
      </c>
      <c r="M889" s="17" t="inlineStr">
        <is>
          <t>Mme CHAN EDA TAMARA</t>
        </is>
      </c>
      <c r="N889" s="17" t="inlineStr">
        <is>
          <t>Chef d entreprise</t>
        </is>
      </c>
      <c r="O889" s="18" t="inlineStr">
        <is>
          <t>19893</t>
        </is>
      </c>
    </row>
    <row r="890" ht="20" customHeight="1">
      <c r="A890" s="13" t="inlineStr">
        <is>
          <t>PAEA-CCISM-0889</t>
        </is>
      </c>
      <c r="B890" s="13" t="inlineStr">
        <is>
          <t>C36247</t>
        </is>
      </c>
      <c r="C890" s="14" t="inlineStr">
        <is>
          <t>CHAPMAN OLEANDER LOUISA</t>
        </is>
      </c>
      <c r="D890" s="14" t="inlineStr">
        <is>
          <t>SERV. ROOMA 98711 PAEA</t>
        </is>
      </c>
      <c r="E890" s="14" t="inlineStr">
        <is>
          <t>Patenté (Personne Physique)</t>
        </is>
      </c>
      <c r="F890" s="14" t="inlineStr">
        <is>
          <t>Patenté</t>
        </is>
      </c>
      <c r="G890" s="13" t="inlineStr">
        <is>
          <t>4619B</t>
        </is>
      </c>
      <c r="H890" s="13" t="inlineStr">
        <is>
          <t>S</t>
        </is>
      </c>
      <c r="I890" s="14" t="inlineStr">
        <is>
          <t>Services</t>
        </is>
      </c>
      <c r="J890" s="15" t="n">
        <v>0</v>
      </c>
      <c r="K890" s="15" t="n">
        <v>1</v>
      </c>
      <c r="L890" s="14" t="inlineStr">
        <is>
          <t>17 1069 A</t>
        </is>
      </c>
      <c r="M890" s="14" t="inlineStr">
        <is>
          <t>Mme CHAPMAN OLEANDER LOUISA</t>
        </is>
      </c>
      <c r="N890" s="14" t="inlineStr">
        <is>
          <t>Chef d entreprise</t>
        </is>
      </c>
      <c r="O890" s="15" t="inlineStr">
        <is>
          <t>19944</t>
        </is>
      </c>
    </row>
    <row r="891" ht="20" customHeight="1">
      <c r="A891" s="16" t="inlineStr">
        <is>
          <t>PAEA-CCISM-0890</t>
        </is>
      </c>
      <c r="B891" s="16" t="inlineStr">
        <is>
          <t>977546</t>
        </is>
      </c>
      <c r="C891" s="17" t="inlineStr">
        <is>
          <t>CHARRIER GABRIEL</t>
        </is>
      </c>
      <c r="D891" s="17" t="inlineStr">
        <is>
          <t>RTE DE LA VALLEE OROFERO LOT SAGE 98711 PAEA</t>
        </is>
      </c>
      <c r="E891" s="17" t="inlineStr">
        <is>
          <t>Patenté (Personne Physique)</t>
        </is>
      </c>
      <c r="F891" s="17" t="inlineStr">
        <is>
          <t>Patenté</t>
        </is>
      </c>
      <c r="G891" s="16" t="inlineStr">
        <is>
          <t>8129B</t>
        </is>
      </c>
      <c r="H891" s="16" t="inlineStr">
        <is>
          <t>S</t>
        </is>
      </c>
      <c r="I891" s="17" t="inlineStr">
        <is>
          <t>Services</t>
        </is>
      </c>
      <c r="J891" s="18" t="n">
        <v>0</v>
      </c>
      <c r="K891" s="18" t="n">
        <v>1</v>
      </c>
      <c r="L891" s="17" t="inlineStr">
        <is>
          <t>15 1392 A</t>
        </is>
      </c>
      <c r="M891" s="17" t="inlineStr">
        <is>
          <t>M CHARRIER GABRIEL</t>
        </is>
      </c>
      <c r="N891" s="17" t="inlineStr">
        <is>
          <t>Chef d entreprise</t>
        </is>
      </c>
      <c r="O891" s="18" t="inlineStr">
        <is>
          <t>19968</t>
        </is>
      </c>
    </row>
    <row r="892" ht="20" customHeight="1">
      <c r="A892" s="13" t="inlineStr">
        <is>
          <t>PAEA-CCISM-0891</t>
        </is>
      </c>
      <c r="B892" s="13" t="inlineStr">
        <is>
          <t>B57948</t>
        </is>
      </c>
      <c r="C892" s="14" t="inlineStr">
        <is>
          <t>CHARVET ANNE-CECILE</t>
        </is>
      </c>
      <c r="D892" s="14" t="inlineStr">
        <is>
          <t>PROP. SALMON T 98711 PAEA</t>
        </is>
      </c>
      <c r="E892" s="14" t="inlineStr">
        <is>
          <t>Patenté (Personne Physique)</t>
        </is>
      </c>
      <c r="F892" s="14" t="inlineStr">
        <is>
          <t>Patenté</t>
        </is>
      </c>
      <c r="G892" s="13" t="inlineStr">
        <is>
          <t>7022Z</t>
        </is>
      </c>
      <c r="H892" s="13" t="inlineStr">
        <is>
          <t>S</t>
        </is>
      </c>
      <c r="I892" s="14" t="inlineStr">
        <is>
          <t>Services</t>
        </is>
      </c>
      <c r="J892" s="15" t="n">
        <v>0</v>
      </c>
      <c r="K892" s="15" t="n">
        <v>1</v>
      </c>
      <c r="L892" s="14" t="inlineStr">
        <is>
          <t>19 1753 A</t>
        </is>
      </c>
      <c r="M892" s="14" t="inlineStr">
        <is>
          <t>Mme CHARVET ANNE-CECILE</t>
        </is>
      </c>
      <c r="N892" s="14" t="inlineStr">
        <is>
          <t>Chef d entreprise</t>
        </is>
      </c>
      <c r="O892" s="15" t="inlineStr">
        <is>
          <t>19977</t>
        </is>
      </c>
    </row>
    <row r="893" ht="20" customHeight="1">
      <c r="A893" s="16" t="inlineStr">
        <is>
          <t>PAEA-CCISM-0892</t>
        </is>
      </c>
      <c r="B893" s="16" t="inlineStr">
        <is>
          <t>471847</t>
        </is>
      </c>
      <c r="C893" s="17" t="inlineStr">
        <is>
          <t>CHEUNG MIN YU</t>
        </is>
      </c>
      <c r="D893" s="17" t="inlineStr">
        <is>
          <t>LOGT 36 LOTIS SOC VAITERUPE 98711 PAEA</t>
        </is>
      </c>
      <c r="E893" s="17" t="inlineStr">
        <is>
          <t>Patenté (Personne Physique)</t>
        </is>
      </c>
      <c r="F893" s="17" t="inlineStr">
        <is>
          <t>Patenté</t>
        </is>
      </c>
      <c r="G893" s="16" t="inlineStr">
        <is>
          <t>0161Z</t>
        </is>
      </c>
      <c r="H893" s="16" t="inlineStr">
        <is>
          <t>S</t>
        </is>
      </c>
      <c r="I893" s="17" t="inlineStr">
        <is>
          <t>Services</t>
        </is>
      </c>
      <c r="J893" s="18" t="n">
        <v>0</v>
      </c>
      <c r="K893" s="18" t="n">
        <v>1</v>
      </c>
      <c r="L893" s="17" t="inlineStr">
        <is>
          <t>23 3378 A</t>
        </is>
      </c>
      <c r="M893" s="17" t="inlineStr">
        <is>
          <t>M CHEUNG MIN YU</t>
        </is>
      </c>
      <c r="N893" s="17" t="inlineStr">
        <is>
          <t>Chef d entreprise</t>
        </is>
      </c>
      <c r="O893" s="18" t="inlineStr">
        <is>
          <t>20036</t>
        </is>
      </c>
    </row>
    <row r="894" ht="20" customHeight="1">
      <c r="A894" s="13" t="inlineStr">
        <is>
          <t>PAEA-CCISM-0893</t>
        </is>
      </c>
      <c r="B894" s="13" t="inlineStr">
        <is>
          <t>E71801</t>
        </is>
      </c>
      <c r="C894" s="14" t="inlineStr">
        <is>
          <t>CHEUNG TAINUI</t>
        </is>
      </c>
      <c r="D894" s="14" t="inlineStr">
        <is>
          <t>SERVITUDE HAERERAAROA 98711 PAEA</t>
        </is>
      </c>
      <c r="E894" s="14" t="inlineStr">
        <is>
          <t>Patenté (Personne Physique)</t>
        </is>
      </c>
      <c r="F894" s="14" t="inlineStr">
        <is>
          <t>Patenté</t>
        </is>
      </c>
      <c r="G894" s="13" t="inlineStr">
        <is>
          <t>5320Z</t>
        </is>
      </c>
      <c r="H894" s="13" t="inlineStr">
        <is>
          <t>S</t>
        </is>
      </c>
      <c r="I894" s="14" t="inlineStr">
        <is>
          <t>Services</t>
        </is>
      </c>
      <c r="J894" s="15" t="n">
        <v>0</v>
      </c>
      <c r="K894" s="15" t="n">
        <v>1</v>
      </c>
      <c r="L894" s="14" t="inlineStr">
        <is>
          <t>22 784 A</t>
        </is>
      </c>
      <c r="M894" s="14" t="inlineStr">
        <is>
          <t>M CHEUNG TAINUI</t>
        </is>
      </c>
      <c r="N894" s="14" t="inlineStr">
        <is>
          <t>Chef d entreprise 20038 SERVICE</t>
        </is>
      </c>
      <c r="O894" s="15" t="inlineStr"/>
    </row>
    <row r="895" ht="20" customHeight="1">
      <c r="A895" s="16" t="inlineStr">
        <is>
          <t>PAEA-CCISM-0894</t>
        </is>
      </c>
      <c r="B895" s="16" t="inlineStr">
        <is>
          <t>997882</t>
        </is>
      </c>
      <c r="C895" s="17" t="inlineStr">
        <is>
          <t>CHOCHOIS AMANDINE</t>
        </is>
      </c>
      <c r="D895" s="17" t="inlineStr">
        <is>
          <t>98711 PAEA</t>
        </is>
      </c>
      <c r="E895" s="17" t="inlineStr">
        <is>
          <t>Patenté (Personne Physique)</t>
        </is>
      </c>
      <c r="F895" s="17" t="inlineStr">
        <is>
          <t>Patenté</t>
        </is>
      </c>
      <c r="G895" s="16" t="inlineStr">
        <is>
          <t>5520Z</t>
        </is>
      </c>
      <c r="H895" s="16" t="inlineStr">
        <is>
          <t>S</t>
        </is>
      </c>
      <c r="I895" s="17" t="inlineStr">
        <is>
          <t>Services</t>
        </is>
      </c>
      <c r="J895" s="18" t="n">
        <v>0</v>
      </c>
      <c r="K895" s="18" t="n">
        <v>1</v>
      </c>
      <c r="L895" s="17" t="inlineStr">
        <is>
          <t>24 388 A</t>
        </is>
      </c>
      <c r="M895" s="17" t="inlineStr">
        <is>
          <t>Mme CHOCHOIS AMANDINE</t>
        </is>
      </c>
      <c r="N895" s="17" t="inlineStr">
        <is>
          <t>Chef d entreprise</t>
        </is>
      </c>
      <c r="O895" s="18" t="inlineStr">
        <is>
          <t>20078</t>
        </is>
      </c>
    </row>
    <row r="896" ht="20" customHeight="1">
      <c r="A896" s="13" t="inlineStr">
        <is>
          <t>PAEA-CCISM-0895</t>
        </is>
      </c>
      <c r="B896" s="13" t="inlineStr">
        <is>
          <t>B55249</t>
        </is>
      </c>
      <c r="C896" s="14" t="inlineStr">
        <is>
          <t>CHONVANT NEE TEUIRA HEINUI</t>
        </is>
      </c>
      <c r="D896" s="14" t="inlineStr">
        <is>
          <t>VALLEE OROFERO 98711 PAEA</t>
        </is>
      </c>
      <c r="E896" s="14" t="inlineStr">
        <is>
          <t>Patenté (Personne Physique)</t>
        </is>
      </c>
      <c r="F896" s="14" t="inlineStr">
        <is>
          <t>Patenté</t>
        </is>
      </c>
      <c r="G896" s="13" t="inlineStr">
        <is>
          <t>9700Z</t>
        </is>
      </c>
      <c r="H896" s="13" t="inlineStr">
        <is>
          <t>S</t>
        </is>
      </c>
      <c r="I896" s="14" t="inlineStr">
        <is>
          <t>Services</t>
        </is>
      </c>
      <c r="J896" s="15" t="n">
        <v>0</v>
      </c>
      <c r="K896" s="15" t="n">
        <v>1</v>
      </c>
      <c r="L896" s="14" t="inlineStr">
        <is>
          <t>21 702 A</t>
        </is>
      </c>
      <c r="M896" s="14" t="inlineStr">
        <is>
          <t>Mme CHONVANT (Née TEUIRA) HEINUI</t>
        </is>
      </c>
      <c r="N896" s="14" t="inlineStr">
        <is>
          <t>Chef d entreprise</t>
        </is>
      </c>
      <c r="O896" s="15" t="inlineStr">
        <is>
          <t>20104</t>
        </is>
      </c>
    </row>
    <row r="897" ht="20" customHeight="1">
      <c r="A897" s="16" t="inlineStr">
        <is>
          <t>PAEA-CCISM-0896</t>
        </is>
      </c>
      <c r="B897" s="16" t="inlineStr">
        <is>
          <t>C58035</t>
        </is>
      </c>
      <c r="C897" s="17" t="inlineStr">
        <is>
          <t>CLARET MOANATEA CHRISTOPHER</t>
        </is>
      </c>
      <c r="D897" s="17" t="inlineStr">
        <is>
          <t>98711 PAEA</t>
        </is>
      </c>
      <c r="E897" s="17" t="inlineStr">
        <is>
          <t>Patenté (Personne Physique)</t>
        </is>
      </c>
      <c r="F897" s="17" t="inlineStr">
        <is>
          <t>Patenté</t>
        </is>
      </c>
      <c r="G897" s="16" t="inlineStr">
        <is>
          <t>7490B</t>
        </is>
      </c>
      <c r="H897" s="16" t="inlineStr">
        <is>
          <t>S</t>
        </is>
      </c>
      <c r="I897" s="17" t="inlineStr">
        <is>
          <t>Services</t>
        </is>
      </c>
      <c r="J897" s="18" t="n">
        <v>0</v>
      </c>
      <c r="K897" s="18" t="n">
        <v>1</v>
      </c>
      <c r="L897" s="17" t="inlineStr">
        <is>
          <t>17 2498 A</t>
        </is>
      </c>
      <c r="M897" s="17" t="inlineStr">
        <is>
          <t>M CLARET MOANATEA CHRISTOPHER</t>
        </is>
      </c>
      <c r="N897" s="17" t="inlineStr">
        <is>
          <t>Chef d entreprise</t>
        </is>
      </c>
      <c r="O897" s="18" t="inlineStr">
        <is>
          <t>20177</t>
        </is>
      </c>
    </row>
    <row r="898" ht="20" customHeight="1">
      <c r="A898" s="13" t="inlineStr">
        <is>
          <t>PAEA-CCISM-0897</t>
        </is>
      </c>
      <c r="B898" s="13" t="inlineStr">
        <is>
          <t>D90192</t>
        </is>
      </c>
      <c r="C898" s="14" t="inlineStr">
        <is>
          <t>CLARK NEE FEVRE BERNADETTE</t>
        </is>
      </c>
      <c r="D898" s="14" t="inlineStr">
        <is>
          <t>LOTIS VAITUPA 98711 PAEA</t>
        </is>
      </c>
      <c r="E898" s="14" t="inlineStr">
        <is>
          <t>Patenté (Personne Physique)</t>
        </is>
      </c>
      <c r="F898" s="14" t="inlineStr">
        <is>
          <t>Patenté</t>
        </is>
      </c>
      <c r="G898" s="13" t="inlineStr">
        <is>
          <t>5520Z</t>
        </is>
      </c>
      <c r="H898" s="13" t="inlineStr">
        <is>
          <t>S</t>
        </is>
      </c>
      <c r="I898" s="14" t="inlineStr">
        <is>
          <t>Services</t>
        </is>
      </c>
      <c r="J898" s="15" t="n">
        <v>0</v>
      </c>
      <c r="K898" s="15" t="n">
        <v>1</v>
      </c>
      <c r="L898" s="14" t="inlineStr">
        <is>
          <t>20 2039 A</t>
        </is>
      </c>
      <c r="M898" s="14" t="inlineStr">
        <is>
          <t>Mme CLARK (Née FEVRE) BERNADETTE</t>
        </is>
      </c>
      <c r="N898" s="14" t="inlineStr">
        <is>
          <t>Chef d entreprise</t>
        </is>
      </c>
      <c r="O898" s="15" t="inlineStr">
        <is>
          <t>20185</t>
        </is>
      </c>
    </row>
    <row r="899" ht="20" customHeight="1">
      <c r="A899" s="16" t="inlineStr">
        <is>
          <t>PAEA-CCISM-0898</t>
        </is>
      </c>
      <c r="B899" s="16" t="inlineStr">
        <is>
          <t>G19491</t>
        </is>
      </c>
      <c r="C899" s="17" t="inlineStr">
        <is>
          <t>CLARK NEE GRAFFE HEIVA-HANNAH</t>
        </is>
      </c>
      <c r="D899" s="17" t="inlineStr">
        <is>
          <t>DER STADE - TERRE TEPOU AH-178 98711 PAEA</t>
        </is>
      </c>
      <c r="E899" s="17" t="inlineStr">
        <is>
          <t>Patenté (Personne Physique)</t>
        </is>
      </c>
      <c r="F899" s="17" t="inlineStr">
        <is>
          <t>Patenté</t>
        </is>
      </c>
      <c r="G899" s="16" t="inlineStr">
        <is>
          <t>7711A</t>
        </is>
      </c>
      <c r="H899" s="16" t="inlineStr">
        <is>
          <t>S</t>
        </is>
      </c>
      <c r="I899" s="17" t="inlineStr">
        <is>
          <t>Services</t>
        </is>
      </c>
      <c r="J899" s="18" t="n">
        <v>0</v>
      </c>
      <c r="K899" s="18" t="n">
        <v>1</v>
      </c>
      <c r="L899" s="17" t="inlineStr">
        <is>
          <t>25 822 A</t>
        </is>
      </c>
      <c r="M899" s="17" t="inlineStr">
        <is>
          <t>Mme CLARK (Née GRAFFE) HEIVA-HANNAH</t>
        </is>
      </c>
      <c r="N899" s="17" t="inlineStr">
        <is>
          <t>Chef d entreprise</t>
        </is>
      </c>
      <c r="O899" s="18" t="inlineStr">
        <is>
          <t>20186</t>
        </is>
      </c>
    </row>
    <row r="900" ht="20" customHeight="1">
      <c r="A900" s="13" t="inlineStr">
        <is>
          <t>PAEA-CCISM-0899</t>
        </is>
      </c>
      <c r="B900" s="13" t="inlineStr">
        <is>
          <t>F23263</t>
        </is>
      </c>
      <c r="C900" s="14" t="inlineStr">
        <is>
          <t>CLUZEL VINCENT</t>
        </is>
      </c>
      <c r="D900" s="14" t="inlineStr">
        <is>
          <t>98711 PAEA</t>
        </is>
      </c>
      <c r="E900" s="14" t="inlineStr">
        <is>
          <t>Patenté (Personne Physique)</t>
        </is>
      </c>
      <c r="F900" s="14" t="inlineStr">
        <is>
          <t>Patenté</t>
        </is>
      </c>
      <c r="G900" s="13" t="inlineStr">
        <is>
          <t>7490B</t>
        </is>
      </c>
      <c r="H900" s="13" t="inlineStr">
        <is>
          <t>S</t>
        </is>
      </c>
      <c r="I900" s="14" t="inlineStr">
        <is>
          <t>Services</t>
        </is>
      </c>
      <c r="J900" s="15" t="n">
        <v>0</v>
      </c>
      <c r="K900" s="15" t="n">
        <v>1</v>
      </c>
      <c r="L900" s="14" t="inlineStr">
        <is>
          <t>23 1125 A</t>
        </is>
      </c>
      <c r="M900" s="14" t="inlineStr">
        <is>
          <t>M CLUZEL VINCENT</t>
        </is>
      </c>
      <c r="N900" s="14" t="inlineStr">
        <is>
          <t>Chef d entreprise</t>
        </is>
      </c>
      <c r="O900" s="15" t="inlineStr">
        <is>
          <t>20224</t>
        </is>
      </c>
    </row>
    <row r="901" ht="20" customHeight="1">
      <c r="A901" s="16" t="inlineStr">
        <is>
          <t>PAEA-CCISM-0900</t>
        </is>
      </c>
      <c r="B901" s="16" t="inlineStr">
        <is>
          <t>229765</t>
        </is>
      </c>
      <c r="C901" s="17" t="inlineStr">
        <is>
          <t>COLARDEAU PIERRE MARIE</t>
        </is>
      </c>
      <c r="D901" s="17" t="inlineStr">
        <is>
          <t>98711 PAEA</t>
        </is>
      </c>
      <c r="E901" s="17" t="inlineStr">
        <is>
          <t>Patenté (Personne Physique)</t>
        </is>
      </c>
      <c r="F901" s="17" t="inlineStr">
        <is>
          <t>Patenté</t>
        </is>
      </c>
      <c r="G901" s="16" t="inlineStr">
        <is>
          <t>7022Z</t>
        </is>
      </c>
      <c r="H901" s="16" t="inlineStr">
        <is>
          <t>S</t>
        </is>
      </c>
      <c r="I901" s="17" t="inlineStr">
        <is>
          <t>Services</t>
        </is>
      </c>
      <c r="J901" s="18" t="n">
        <v>1</v>
      </c>
      <c r="K901" s="18" t="n">
        <v>1</v>
      </c>
      <c r="L901" s="17" t="inlineStr">
        <is>
          <t>16 2145 A</t>
        </is>
      </c>
      <c r="M901" s="17" t="inlineStr">
        <is>
          <t>M COLARDEAU PIERRE MARIE</t>
        </is>
      </c>
      <c r="N901" s="17" t="inlineStr">
        <is>
          <t>Chef d entreprise</t>
        </is>
      </c>
      <c r="O901" s="18" t="inlineStr">
        <is>
          <t>20251</t>
        </is>
      </c>
    </row>
    <row r="902" ht="20" customHeight="1">
      <c r="A902" s="13" t="inlineStr">
        <is>
          <t>PAEA-CCISM-0901</t>
        </is>
      </c>
      <c r="B902" s="13" t="inlineStr">
        <is>
          <t>A65539</t>
        </is>
      </c>
      <c r="C902" s="14" t="inlineStr">
        <is>
          <t>CONTE MARYLINE CHRISTINE</t>
        </is>
      </c>
      <c r="D902" s="14" t="inlineStr">
        <is>
          <t>RTE DU LOTISSEMENT TIARE FACE HUGON AV. MAGASIN MARIE 98711 PAEA</t>
        </is>
      </c>
      <c r="E902" s="14" t="inlineStr">
        <is>
          <t>Patenté (Personne Physique)</t>
        </is>
      </c>
      <c r="F902" s="14" t="inlineStr">
        <is>
          <t>Patenté</t>
        </is>
      </c>
      <c r="G902" s="13" t="inlineStr">
        <is>
          <t>9604Z</t>
        </is>
      </c>
      <c r="H902" s="13" t="inlineStr">
        <is>
          <t>S</t>
        </is>
      </c>
      <c r="I902" s="14" t="inlineStr">
        <is>
          <t>Services</t>
        </is>
      </c>
      <c r="J902" s="15" t="n">
        <v>0</v>
      </c>
      <c r="K902" s="15" t="n">
        <v>1</v>
      </c>
      <c r="L902" s="14" t="inlineStr">
        <is>
          <t>22 571 A</t>
        </is>
      </c>
      <c r="M902" s="14" t="inlineStr">
        <is>
          <t>Mme CONTE MARYLINE CHRISTINE</t>
        </is>
      </c>
      <c r="N902" s="14" t="inlineStr">
        <is>
          <t>Chef d entreprise</t>
        </is>
      </c>
      <c r="O902" s="15" t="inlineStr">
        <is>
          <t>20323</t>
        </is>
      </c>
    </row>
    <row r="903" ht="20" customHeight="1">
      <c r="A903" s="16" t="inlineStr">
        <is>
          <t>PAEA-CCISM-0902</t>
        </is>
      </c>
      <c r="B903" s="16" t="inlineStr">
        <is>
          <t>C21207</t>
        </is>
      </c>
      <c r="C903" s="17" t="inlineStr">
        <is>
          <t>CONTIOS HEIMATAIKI</t>
        </is>
      </c>
      <c r="D903" s="17" t="inlineStr">
        <is>
          <t>LOT N°7 RESIDENCE BOURNE 98711 PAEA</t>
        </is>
      </c>
      <c r="E903" s="17" t="inlineStr">
        <is>
          <t>Patenté (Personne Physique)</t>
        </is>
      </c>
      <c r="F903" s="17" t="inlineStr">
        <is>
          <t>Patenté</t>
        </is>
      </c>
      <c r="G903" s="16" t="inlineStr">
        <is>
          <t>9609Z</t>
        </is>
      </c>
      <c r="H903" s="16" t="inlineStr">
        <is>
          <t>S</t>
        </is>
      </c>
      <c r="I903" s="17" t="inlineStr">
        <is>
          <t>Services</t>
        </is>
      </c>
      <c r="J903" s="18" t="n">
        <v>0</v>
      </c>
      <c r="K903" s="18" t="n">
        <v>1</v>
      </c>
      <c r="L903" s="17" t="inlineStr">
        <is>
          <t>21 2524 A</t>
        </is>
      </c>
      <c r="M903" s="17" t="inlineStr">
        <is>
          <t>Mme CONTIOS HEIMATAIKI</t>
        </is>
      </c>
      <c r="N903" s="17" t="inlineStr">
        <is>
          <t>Chef d entreprise</t>
        </is>
      </c>
      <c r="O903" s="18" t="inlineStr">
        <is>
          <t>20325</t>
        </is>
      </c>
    </row>
    <row r="904" ht="20" customHeight="1">
      <c r="A904" s="13" t="inlineStr">
        <is>
          <t>PAEA-CCISM-0903</t>
        </is>
      </c>
      <c r="B904" s="13" t="inlineStr">
        <is>
          <t>D16502</t>
        </is>
      </c>
      <c r="C904" s="14" t="inlineStr">
        <is>
          <t>CONTIOS MICHEL</t>
        </is>
      </c>
      <c r="D904" s="14" t="inlineStr">
        <is>
          <t>RTE LOTISSEMENT BOURNE LOT 7 98711 PAEA</t>
        </is>
      </c>
      <c r="E904" s="14" t="inlineStr">
        <is>
          <t>Patenté (Personne Physique)</t>
        </is>
      </c>
      <c r="F904" s="14" t="inlineStr">
        <is>
          <t>Patenté</t>
        </is>
      </c>
      <c r="G904" s="13" t="inlineStr">
        <is>
          <t>9609Z</t>
        </is>
      </c>
      <c r="H904" s="13" t="inlineStr">
        <is>
          <t>S</t>
        </is>
      </c>
      <c r="I904" s="14" t="inlineStr">
        <is>
          <t>Services</t>
        </is>
      </c>
      <c r="J904" s="15" t="n">
        <v>0</v>
      </c>
      <c r="K904" s="15" t="n">
        <v>1</v>
      </c>
      <c r="L904" s="14" t="inlineStr">
        <is>
          <t>19 544 A</t>
        </is>
      </c>
      <c r="M904" s="14" t="inlineStr">
        <is>
          <t>M CONTIOS MICHEL</t>
        </is>
      </c>
      <c r="N904" s="14" t="inlineStr">
        <is>
          <t>Chef d entreprise</t>
        </is>
      </c>
      <c r="O904" s="15" t="inlineStr">
        <is>
          <t>20326</t>
        </is>
      </c>
    </row>
    <row r="905" ht="20" customHeight="1">
      <c r="A905" s="16" t="inlineStr">
        <is>
          <t>PAEA-CCISM-0904</t>
        </is>
      </c>
      <c r="B905" s="16" t="inlineStr">
        <is>
          <t>F11334</t>
        </is>
      </c>
      <c r="C905" s="17" t="inlineStr">
        <is>
          <t>COUSTER RICHARD, MARC</t>
        </is>
      </c>
      <c r="D905" s="17" t="inlineStr">
        <is>
          <t>ROUTE CADOUSTEAU 98711 PAEA</t>
        </is>
      </c>
      <c r="E905" s="17" t="inlineStr">
        <is>
          <t>Patenté (Personne Physique)</t>
        </is>
      </c>
      <c r="F905" s="17" t="inlineStr">
        <is>
          <t>Patenté</t>
        </is>
      </c>
      <c r="G905" s="16" t="inlineStr">
        <is>
          <t>7022Z</t>
        </is>
      </c>
      <c r="H905" s="16" t="inlineStr">
        <is>
          <t>S</t>
        </is>
      </c>
      <c r="I905" s="17" t="inlineStr">
        <is>
          <t>Services</t>
        </is>
      </c>
      <c r="J905" s="18" t="n">
        <v>0</v>
      </c>
      <c r="K905" s="18" t="n">
        <v>1</v>
      </c>
      <c r="L905" s="17" t="inlineStr">
        <is>
          <t>23 2279 A</t>
        </is>
      </c>
      <c r="M905" s="17" t="inlineStr">
        <is>
          <t>M COUSTER RICHARD, MARC</t>
        </is>
      </c>
      <c r="N905" s="17" t="inlineStr">
        <is>
          <t>Chef d entreprise</t>
        </is>
      </c>
      <c r="O905" s="18" t="inlineStr">
        <is>
          <t>20420</t>
        </is>
      </c>
    </row>
    <row r="906" ht="20" customHeight="1">
      <c r="A906" s="13" t="inlineStr">
        <is>
          <t>PAEA-CCISM-0905</t>
        </is>
      </c>
      <c r="B906" s="13" t="inlineStr">
        <is>
          <t>B23221</t>
        </is>
      </c>
      <c r="C906" s="14" t="inlineStr">
        <is>
          <t>COUTURAUD ROMAIN</t>
        </is>
      </c>
      <c r="D906" s="14" t="inlineStr">
        <is>
          <t>SERV MONTARON 98711 PAEA</t>
        </is>
      </c>
      <c r="E906" s="14" t="inlineStr">
        <is>
          <t>Patenté (Personne Physique)</t>
        </is>
      </c>
      <c r="F906" s="14" t="inlineStr">
        <is>
          <t>Patenté</t>
        </is>
      </c>
      <c r="G906" s="13" t="inlineStr">
        <is>
          <t>9609Z</t>
        </is>
      </c>
      <c r="H906" s="13" t="inlineStr">
        <is>
          <t>S</t>
        </is>
      </c>
      <c r="I906" s="14" t="inlineStr">
        <is>
          <t>Services</t>
        </is>
      </c>
      <c r="J906" s="15" t="n">
        <v>0</v>
      </c>
      <c r="K906" s="15" t="n">
        <v>1</v>
      </c>
      <c r="L906" s="14" t="inlineStr">
        <is>
          <t>14 1858 A</t>
        </is>
      </c>
      <c r="M906" s="14" t="inlineStr">
        <is>
          <t>M COUTURAUD ROMAIN</t>
        </is>
      </c>
      <c r="N906" s="14" t="inlineStr">
        <is>
          <t>Chef d entreprise</t>
        </is>
      </c>
      <c r="O906" s="15" t="inlineStr">
        <is>
          <t>20426</t>
        </is>
      </c>
    </row>
    <row r="907" ht="20" customHeight="1">
      <c r="A907" s="16" t="inlineStr">
        <is>
          <t>PAEA-CCISM-0906</t>
        </is>
      </c>
      <c r="B907" s="16" t="inlineStr">
        <is>
          <t>873729</t>
        </is>
      </c>
      <c r="C907" s="17" t="inlineStr">
        <is>
          <t>CROSS NEE EBB VALENTINA</t>
        </is>
      </c>
      <c r="D907" s="17" t="inlineStr">
        <is>
          <t>SERVITUDE TEMAKE - N° 9 98711 PAEA</t>
        </is>
      </c>
      <c r="E907" s="17" t="inlineStr">
        <is>
          <t>Patenté (Personne Physique)</t>
        </is>
      </c>
      <c r="F907" s="17" t="inlineStr">
        <is>
          <t>Patenté</t>
        </is>
      </c>
      <c r="G907" s="16" t="inlineStr">
        <is>
          <t>8211Z</t>
        </is>
      </c>
      <c r="H907" s="16" t="inlineStr">
        <is>
          <t>S</t>
        </is>
      </c>
      <c r="I907" s="17" t="inlineStr">
        <is>
          <t>Services</t>
        </is>
      </c>
      <c r="J907" s="18" t="n">
        <v>0</v>
      </c>
      <c r="K907" s="18" t="n">
        <v>1</v>
      </c>
      <c r="L907" s="17" t="inlineStr">
        <is>
          <t>25 385 A</t>
        </is>
      </c>
      <c r="M907" s="17" t="inlineStr">
        <is>
          <t>Mme CROSS (Née EBB) VALENTINA</t>
        </is>
      </c>
      <c r="N907" s="17" t="inlineStr">
        <is>
          <t>Chef d entreprise</t>
        </is>
      </c>
      <c r="O907" s="18" t="inlineStr">
        <is>
          <t>20469</t>
        </is>
      </c>
    </row>
    <row r="908" ht="20" customHeight="1">
      <c r="A908" s="13" t="inlineStr">
        <is>
          <t>PAEA-CCISM-0907</t>
        </is>
      </c>
      <c r="B908" s="13" t="inlineStr">
        <is>
          <t>E61794</t>
        </is>
      </c>
      <c r="C908" s="14" t="inlineStr">
        <is>
          <t>CVETKOVIC KATIA</t>
        </is>
      </c>
      <c r="D908" s="14" t="inlineStr">
        <is>
          <t>98711 PAEA</t>
        </is>
      </c>
      <c r="E908" s="14" t="inlineStr">
        <is>
          <t>Patenté (Personne Physique)</t>
        </is>
      </c>
      <c r="F908" s="14" t="inlineStr">
        <is>
          <t>Patenté</t>
        </is>
      </c>
      <c r="G908" s="13" t="inlineStr">
        <is>
          <t>4619B</t>
        </is>
      </c>
      <c r="H908" s="13" t="inlineStr">
        <is>
          <t>S</t>
        </is>
      </c>
      <c r="I908" s="14" t="inlineStr">
        <is>
          <t>Services</t>
        </is>
      </c>
      <c r="J908" s="15" t="n">
        <v>0</v>
      </c>
      <c r="K908" s="15" t="n">
        <v>1</v>
      </c>
      <c r="L908" s="14" t="inlineStr">
        <is>
          <t>22 236 A</t>
        </is>
      </c>
      <c r="M908" s="14" t="inlineStr">
        <is>
          <t>Mme CVETKOVIC KATIA</t>
        </is>
      </c>
      <c r="N908" s="14" t="inlineStr">
        <is>
          <t>Chef d entreprise</t>
        </is>
      </c>
      <c r="O908" s="15" t="inlineStr">
        <is>
          <t>20499</t>
        </is>
      </c>
    </row>
    <row r="909" ht="20" customHeight="1">
      <c r="A909" s="16" t="inlineStr">
        <is>
          <t>PAEA-CCISM-0908</t>
        </is>
      </c>
      <c r="B909" s="16" t="inlineStr">
        <is>
          <t>F44111</t>
        </is>
      </c>
      <c r="C909" s="17" t="inlineStr">
        <is>
          <t>DALBOS THIERRY MOANA</t>
        </is>
      </c>
      <c r="D909" s="17" t="inlineStr">
        <is>
          <t>7 SERV TEORE 1 98711 PAEA</t>
        </is>
      </c>
      <c r="E909" s="17" t="inlineStr">
        <is>
          <t>Patenté (Personne Physique)</t>
        </is>
      </c>
      <c r="F909" s="17" t="inlineStr">
        <is>
          <t>Patenté</t>
        </is>
      </c>
      <c r="G909" s="16" t="inlineStr">
        <is>
          <t>9329Z</t>
        </is>
      </c>
      <c r="H909" s="16" t="inlineStr">
        <is>
          <t>S</t>
        </is>
      </c>
      <c r="I909" s="17" t="inlineStr">
        <is>
          <t>Services</t>
        </is>
      </c>
      <c r="J909" s="18" t="n">
        <v>0</v>
      </c>
      <c r="K909" s="18" t="n">
        <v>1</v>
      </c>
      <c r="L909" s="17" t="inlineStr">
        <is>
          <t>23 2021 A</t>
        </is>
      </c>
      <c r="M909" s="17" t="inlineStr">
        <is>
          <t>M DALBOS THIERRY MOANA</t>
        </is>
      </c>
      <c r="N909" s="17" t="inlineStr">
        <is>
          <t>Chef d entreprise</t>
        </is>
      </c>
      <c r="O909" s="18" t="inlineStr">
        <is>
          <t>20518</t>
        </is>
      </c>
    </row>
    <row r="910" ht="20" customHeight="1">
      <c r="A910" s="13" t="inlineStr">
        <is>
          <t>PAEA-CCISM-0909</t>
        </is>
      </c>
      <c r="B910" s="13" t="inlineStr">
        <is>
          <t>C95599</t>
        </is>
      </c>
      <c r="C910" s="14" t="inlineStr">
        <is>
          <t>DAUPHIN NOEL TEINA</t>
        </is>
      </c>
      <c r="D910" s="14" t="inlineStr">
        <is>
          <t>20 RTE DU LOTISSEMENT VAITERUPE 98711 PAEA</t>
        </is>
      </c>
      <c r="E910" s="14" t="inlineStr">
        <is>
          <t>Patenté (Personne Physique)</t>
        </is>
      </c>
      <c r="F910" s="14" t="inlineStr">
        <is>
          <t>Patenté</t>
        </is>
      </c>
      <c r="G910" s="13" t="inlineStr">
        <is>
          <t>0161Z</t>
        </is>
      </c>
      <c r="H910" s="13" t="inlineStr">
        <is>
          <t>S</t>
        </is>
      </c>
      <c r="I910" s="14" t="inlineStr">
        <is>
          <t>Services</t>
        </is>
      </c>
      <c r="J910" s="15" t="n">
        <v>0</v>
      </c>
      <c r="K910" s="15" t="n">
        <v>1</v>
      </c>
      <c r="L910" s="14" t="inlineStr">
        <is>
          <t>18 2145 A</t>
        </is>
      </c>
      <c r="M910" s="14" t="inlineStr">
        <is>
          <t>M DAUPHIN NOEL TEINA</t>
        </is>
      </c>
      <c r="N910" s="14" t="inlineStr">
        <is>
          <t>Chef d entreprise</t>
        </is>
      </c>
      <c r="O910" s="15" t="inlineStr">
        <is>
          <t>20574</t>
        </is>
      </c>
    </row>
    <row r="911" ht="20" customHeight="1">
      <c r="A911" s="16" t="inlineStr">
        <is>
          <t>PAEA-CCISM-0910</t>
        </is>
      </c>
      <c r="B911" s="16" t="inlineStr">
        <is>
          <t>843805</t>
        </is>
      </c>
      <c r="C911" s="17" t="inlineStr">
        <is>
          <t>DE CUBBER BENJAMIN ALAIN</t>
        </is>
      </c>
      <c r="D911" s="17" t="inlineStr">
        <is>
          <t>PAEA PK 23.900 C/MONT - LOTISS. BOURNE 98711 PAEA</t>
        </is>
      </c>
      <c r="E911" s="17" t="inlineStr">
        <is>
          <t>Patenté (Personne Physique)</t>
        </is>
      </c>
      <c r="F911" s="17" t="inlineStr">
        <is>
          <t>Patenté</t>
        </is>
      </c>
      <c r="G911" s="16" t="inlineStr">
        <is>
          <t>9609Z</t>
        </is>
      </c>
      <c r="H911" s="16" t="inlineStr">
        <is>
          <t>S</t>
        </is>
      </c>
      <c r="I911" s="17" t="inlineStr">
        <is>
          <t>Services</t>
        </is>
      </c>
      <c r="J911" s="18" t="n">
        <v>0</v>
      </c>
      <c r="K911" s="18" t="n">
        <v>1</v>
      </c>
      <c r="L911" s="17" t="inlineStr">
        <is>
          <t>07 1767 A</t>
        </is>
      </c>
      <c r="M911" s="17" t="inlineStr">
        <is>
          <t>M DE CUBBER BENJAMIN ALAIN</t>
        </is>
      </c>
      <c r="N911" s="17" t="inlineStr">
        <is>
          <t>Chef d entreprise</t>
        </is>
      </c>
      <c r="O911" s="18" t="inlineStr">
        <is>
          <t>20602</t>
        </is>
      </c>
    </row>
    <row r="912" ht="20" customHeight="1">
      <c r="A912" s="13" t="inlineStr">
        <is>
          <t>PAEA-CCISM-0911</t>
        </is>
      </c>
      <c r="B912" s="13" t="inlineStr">
        <is>
          <t>A31143</t>
        </is>
      </c>
      <c r="C912" s="14" t="inlineStr">
        <is>
          <t>DE GALLERY DE SERVIERE GABRIEL</t>
        </is>
      </c>
      <c r="D912" s="14" t="inlineStr">
        <is>
          <t>98711 PAEA</t>
        </is>
      </c>
      <c r="E912" s="14" t="inlineStr">
        <is>
          <t>Patenté (Personne Physique)</t>
        </is>
      </c>
      <c r="F912" s="14" t="inlineStr">
        <is>
          <t>Patenté</t>
        </is>
      </c>
      <c r="G912" s="13" t="inlineStr">
        <is>
          <t>5010Z</t>
        </is>
      </c>
      <c r="H912" s="13" t="inlineStr">
        <is>
          <t>S</t>
        </is>
      </c>
      <c r="I912" s="14" t="inlineStr">
        <is>
          <t>Services</t>
        </is>
      </c>
      <c r="J912" s="15" t="n">
        <v>1</v>
      </c>
      <c r="K912" s="15" t="n">
        <v>1</v>
      </c>
      <c r="L912" s="14" t="inlineStr">
        <is>
          <t>13 2018 A</t>
        </is>
      </c>
      <c r="M912" s="14" t="inlineStr">
        <is>
          <t>M DE GALLERY DE SERVIERE GABRIEL</t>
        </is>
      </c>
      <c r="N912" s="14" t="inlineStr">
        <is>
          <t>Chef d entreprise</t>
        </is>
      </c>
      <c r="O912" s="15" t="inlineStr">
        <is>
          <t>20605</t>
        </is>
      </c>
    </row>
    <row r="913" ht="20" customHeight="1">
      <c r="A913" s="16" t="inlineStr">
        <is>
          <t>PAEA-CCISM-0912</t>
        </is>
      </c>
      <c r="B913" s="16" t="inlineStr">
        <is>
          <t>A87855</t>
        </is>
      </c>
      <c r="C913" s="17" t="inlineStr">
        <is>
          <t>DEANE MIRIARII</t>
        </is>
      </c>
      <c r="D913" s="17" t="inlineStr">
        <is>
          <t>SERVITUDE TOTOE 98711 PAEA</t>
        </is>
      </c>
      <c r="E913" s="17" t="inlineStr">
        <is>
          <t>Patenté (Personne Physique)</t>
        </is>
      </c>
      <c r="F913" s="17" t="inlineStr">
        <is>
          <t>Patenté</t>
        </is>
      </c>
      <c r="G913" s="16" t="inlineStr">
        <is>
          <t>8299Z</t>
        </is>
      </c>
      <c r="H913" s="16" t="inlineStr">
        <is>
          <t>S</t>
        </is>
      </c>
      <c r="I913" s="17" t="inlineStr">
        <is>
          <t>Services</t>
        </is>
      </c>
      <c r="J913" s="18" t="n">
        <v>0</v>
      </c>
      <c r="K913" s="18" t="n">
        <v>1</v>
      </c>
      <c r="L913" s="17" t="inlineStr">
        <is>
          <t>18 1162 A</t>
        </is>
      </c>
      <c r="M913" s="17" t="inlineStr">
        <is>
          <t>Mme DEANE MIRIARII</t>
        </is>
      </c>
      <c r="N913" s="17" t="inlineStr">
        <is>
          <t>Chef d entreprise 20636 SERVICE</t>
        </is>
      </c>
      <c r="O913" s="18" t="inlineStr"/>
    </row>
    <row r="914" ht="20" customHeight="1">
      <c r="A914" s="13" t="inlineStr">
        <is>
          <t>PAEA-CCISM-0913</t>
        </is>
      </c>
      <c r="B914" s="13" t="inlineStr">
        <is>
          <t>D29992</t>
        </is>
      </c>
      <c r="C914" s="14" t="inlineStr">
        <is>
          <t>DEANE TEVARII</t>
        </is>
      </c>
      <c r="D914" s="14" t="inlineStr">
        <is>
          <t>RTE DE LA VALLEE OROFERO RESIDENCE TAREVAREVA 98711 PAEA</t>
        </is>
      </c>
      <c r="E914" s="14" t="inlineStr">
        <is>
          <t>Patenté (Personne Physique)</t>
        </is>
      </c>
      <c r="F914" s="14" t="inlineStr">
        <is>
          <t>Patenté</t>
        </is>
      </c>
      <c r="G914" s="13" t="inlineStr">
        <is>
          <t>6203Z</t>
        </is>
      </c>
      <c r="H914" s="13" t="inlineStr">
        <is>
          <t>S</t>
        </is>
      </c>
      <c r="I914" s="14" t="inlineStr">
        <is>
          <t>Services</t>
        </is>
      </c>
      <c r="J914" s="15" t="n">
        <v>0</v>
      </c>
      <c r="K914" s="15" t="n">
        <v>1</v>
      </c>
      <c r="L914" s="14" t="inlineStr">
        <is>
          <t>23 2464 A</t>
        </is>
      </c>
      <c r="M914" s="14" t="inlineStr">
        <is>
          <t>M DEANE TEVARII</t>
        </is>
      </c>
      <c r="N914" s="14" t="inlineStr">
        <is>
          <t>Chef d entreprise</t>
        </is>
      </c>
      <c r="O914" s="15" t="inlineStr">
        <is>
          <t>20644</t>
        </is>
      </c>
    </row>
    <row r="915" ht="20" customHeight="1">
      <c r="A915" s="16" t="inlineStr">
        <is>
          <t>PAEA-CCISM-0914</t>
        </is>
      </c>
      <c r="B915" s="16" t="inlineStr">
        <is>
          <t>939173</t>
        </is>
      </c>
      <c r="C915" s="17" t="inlineStr">
        <is>
          <t>DEGAGE NEE DUVALE REGINA</t>
        </is>
      </c>
      <c r="D915" s="17" t="inlineStr">
        <is>
          <t>QRT DUVALE 98711 PAEA</t>
        </is>
      </c>
      <c r="E915" s="17" t="inlineStr">
        <is>
          <t>Patenté (Personne Physique)</t>
        </is>
      </c>
      <c r="F915" s="17" t="inlineStr">
        <is>
          <t>Patenté</t>
        </is>
      </c>
      <c r="G915" s="16" t="inlineStr">
        <is>
          <t>9604Z</t>
        </is>
      </c>
      <c r="H915" s="16" t="inlineStr">
        <is>
          <t>S</t>
        </is>
      </c>
      <c r="I915" s="17" t="inlineStr">
        <is>
          <t>Services</t>
        </is>
      </c>
      <c r="J915" s="18" t="n">
        <v>1</v>
      </c>
      <c r="K915" s="18" t="n">
        <v>1</v>
      </c>
      <c r="L915" s="17" t="inlineStr">
        <is>
          <t>22 2589 A</t>
        </is>
      </c>
      <c r="M915" s="17" t="inlineStr">
        <is>
          <t>Mme DEGAGE (Née DUVALE) REGINA</t>
        </is>
      </c>
      <c r="N915" s="17" t="inlineStr">
        <is>
          <t>Chef d entreprise</t>
        </is>
      </c>
      <c r="O915" s="18" t="inlineStr">
        <is>
          <t>20668</t>
        </is>
      </c>
    </row>
    <row r="916" ht="20" customHeight="1">
      <c r="A916" s="13" t="inlineStr">
        <is>
          <t>PAEA-CCISM-0915</t>
        </is>
      </c>
      <c r="B916" s="13" t="inlineStr">
        <is>
          <t>949859</t>
        </is>
      </c>
      <c r="C916" s="14" t="inlineStr">
        <is>
          <t>DELAPORTE BRICE JUSTINIEN</t>
        </is>
      </c>
      <c r="D916" s="14" t="inlineStr">
        <is>
          <t>RES LES BOUGAINVILLIERS APPARTEMENT 104 98711 PAEA</t>
        </is>
      </c>
      <c r="E916" s="14" t="inlineStr">
        <is>
          <t>Patenté (Personne Physique)</t>
        </is>
      </c>
      <c r="F916" s="14" t="inlineStr">
        <is>
          <t>Patenté</t>
        </is>
      </c>
      <c r="G916" s="13" t="inlineStr">
        <is>
          <t>7112B</t>
        </is>
      </c>
      <c r="H916" s="13" t="inlineStr">
        <is>
          <t>S</t>
        </is>
      </c>
      <c r="I916" s="14" t="inlineStr">
        <is>
          <t>Services</t>
        </is>
      </c>
      <c r="J916" s="15" t="n">
        <v>0</v>
      </c>
      <c r="K916" s="15" t="n">
        <v>1</v>
      </c>
      <c r="L916" s="14" t="inlineStr">
        <is>
          <t>22 46 A</t>
        </is>
      </c>
      <c r="M916" s="14" t="inlineStr">
        <is>
          <t>M DELAPORTE BRICE JUSTINIEN</t>
        </is>
      </c>
      <c r="N916" s="14" t="inlineStr">
        <is>
          <t>Chef d entreprise</t>
        </is>
      </c>
      <c r="O916" s="15" t="inlineStr">
        <is>
          <t>20697</t>
        </is>
      </c>
    </row>
    <row r="917" ht="20" customHeight="1">
      <c r="A917" s="16" t="inlineStr">
        <is>
          <t>PAEA-CCISM-0916</t>
        </is>
      </c>
      <c r="B917" s="16" t="inlineStr">
        <is>
          <t>A46901</t>
        </is>
      </c>
      <c r="C917" s="17" t="inlineStr">
        <is>
          <t>DELMAS DENIS VETEA</t>
        </is>
      </c>
      <c r="D917" s="17" t="inlineStr">
        <is>
          <t>RES MANAVA LOT 24 98711 PAEA</t>
        </is>
      </c>
      <c r="E917" s="17" t="inlineStr">
        <is>
          <t>Patenté (Personne Physique)</t>
        </is>
      </c>
      <c r="F917" s="17" t="inlineStr">
        <is>
          <t>Patenté</t>
        </is>
      </c>
      <c r="G917" s="16" t="inlineStr">
        <is>
          <t>9609Z</t>
        </is>
      </c>
      <c r="H917" s="16" t="inlineStr">
        <is>
          <t>S</t>
        </is>
      </c>
      <c r="I917" s="17" t="inlineStr">
        <is>
          <t>Services</t>
        </is>
      </c>
      <c r="J917" s="18" t="n">
        <v>0</v>
      </c>
      <c r="K917" s="18" t="n">
        <v>1</v>
      </c>
      <c r="L917" s="17" t="inlineStr">
        <is>
          <t>12 1992 A</t>
        </is>
      </c>
      <c r="M917" s="17" t="inlineStr">
        <is>
          <t>M DELMAS DENIS VETEA</t>
        </is>
      </c>
      <c r="N917" s="17" t="inlineStr">
        <is>
          <t>Chef d entreprise</t>
        </is>
      </c>
      <c r="O917" s="18" t="inlineStr">
        <is>
          <t>20718</t>
        </is>
      </c>
    </row>
    <row r="918" ht="20" customHeight="1">
      <c r="A918" s="13" t="inlineStr">
        <is>
          <t>PAEA-CCISM-0917</t>
        </is>
      </c>
      <c r="B918" s="13" t="inlineStr">
        <is>
          <t>938944</t>
        </is>
      </c>
      <c r="C918" s="14" t="inlineStr">
        <is>
          <t>DENIS NATHALIE ELISABETH</t>
        </is>
      </c>
      <c r="D918" s="14" t="inlineStr">
        <is>
          <t>98711 PAEA</t>
        </is>
      </c>
      <c r="E918" s="14" t="inlineStr">
        <is>
          <t>Patenté (Personne Physique)</t>
        </is>
      </c>
      <c r="F918" s="14" t="inlineStr">
        <is>
          <t>Patenté</t>
        </is>
      </c>
      <c r="G918" s="13" t="inlineStr">
        <is>
          <t>9609Z</t>
        </is>
      </c>
      <c r="H918" s="13" t="inlineStr">
        <is>
          <t>S</t>
        </is>
      </c>
      <c r="I918" s="14" t="inlineStr">
        <is>
          <t>Services</t>
        </is>
      </c>
      <c r="J918" s="15" t="n">
        <v>0</v>
      </c>
      <c r="K918" s="15" t="n">
        <v>1</v>
      </c>
      <c r="L918" s="14" t="inlineStr">
        <is>
          <t>21 2124 A</t>
        </is>
      </c>
      <c r="M918" s="14" t="inlineStr">
        <is>
          <t>Mme DENIS NATHALIE ELISABETH</t>
        </is>
      </c>
      <c r="N918" s="14" t="inlineStr">
        <is>
          <t>Chef d entreprise</t>
        </is>
      </c>
      <c r="O918" s="15" t="inlineStr">
        <is>
          <t>20748</t>
        </is>
      </c>
    </row>
    <row r="919" ht="20" customHeight="1">
      <c r="A919" s="16" t="inlineStr">
        <is>
          <t>PAEA-CCISM-0918</t>
        </is>
      </c>
      <c r="B919" s="16" t="inlineStr">
        <is>
          <t>F48518</t>
        </is>
      </c>
      <c r="C919" s="17" t="inlineStr">
        <is>
          <t>DENISE THIBAUT</t>
        </is>
      </c>
      <c r="D919" s="17" t="inlineStr">
        <is>
          <t>SERVITUDE FAGNEAUX 98711 PAEA</t>
        </is>
      </c>
      <c r="E919" s="17" t="inlineStr">
        <is>
          <t>Patenté (Personne Physique)</t>
        </is>
      </c>
      <c r="F919" s="17" t="inlineStr">
        <is>
          <t>Patenté</t>
        </is>
      </c>
      <c r="G919" s="16" t="inlineStr">
        <is>
          <t>5912Z</t>
        </is>
      </c>
      <c r="H919" s="16" t="inlineStr">
        <is>
          <t>S</t>
        </is>
      </c>
      <c r="I919" s="17" t="inlineStr">
        <is>
          <t>Services</t>
        </is>
      </c>
      <c r="J919" s="18" t="n">
        <v>0</v>
      </c>
      <c r="K919" s="18" t="n">
        <v>1</v>
      </c>
      <c r="L919" s="17" t="inlineStr">
        <is>
          <t>23 2320 A</t>
        </is>
      </c>
      <c r="M919" s="17" t="inlineStr">
        <is>
          <t>M DENISE THIBAUT</t>
        </is>
      </c>
      <c r="N919" s="17" t="inlineStr">
        <is>
          <t>Chef d entreprise</t>
        </is>
      </c>
      <c r="O919" s="18" t="inlineStr">
        <is>
          <t>20749</t>
        </is>
      </c>
    </row>
    <row r="920" ht="20" customHeight="1">
      <c r="A920" s="13" t="inlineStr">
        <is>
          <t>PAEA-CCISM-0919</t>
        </is>
      </c>
      <c r="B920" s="13" t="inlineStr">
        <is>
          <t>B52410</t>
        </is>
      </c>
      <c r="C920" s="14" t="inlineStr">
        <is>
          <t>DIALLO DJAMILATOU</t>
        </is>
      </c>
      <c r="D920" s="14" t="inlineStr">
        <is>
          <t>98711 PAEA</t>
        </is>
      </c>
      <c r="E920" s="14" t="inlineStr">
        <is>
          <t>Patenté (Personne Physique)</t>
        </is>
      </c>
      <c r="F920" s="14" t="inlineStr">
        <is>
          <t>Patenté</t>
        </is>
      </c>
      <c r="G920" s="13" t="inlineStr">
        <is>
          <t>8230Z</t>
        </is>
      </c>
      <c r="H920" s="13" t="inlineStr">
        <is>
          <t>S</t>
        </is>
      </c>
      <c r="I920" s="14" t="inlineStr">
        <is>
          <t>Services</t>
        </is>
      </c>
      <c r="J920" s="15" t="n">
        <v>0</v>
      </c>
      <c r="K920" s="15" t="n">
        <v>1</v>
      </c>
      <c r="L920" s="14" t="inlineStr">
        <is>
          <t>15 1349 A</t>
        </is>
      </c>
      <c r="M920" s="14" t="inlineStr">
        <is>
          <t>Mme DIALLO DJAMILATOU</t>
        </is>
      </c>
      <c r="N920" s="14" t="inlineStr">
        <is>
          <t>Chef d entreprise</t>
        </is>
      </c>
      <c r="O920" s="15" t="inlineStr">
        <is>
          <t>20831</t>
        </is>
      </c>
    </row>
    <row r="921" ht="20" customHeight="1">
      <c r="A921" s="16" t="inlineStr">
        <is>
          <t>PAEA-CCISM-0920</t>
        </is>
      </c>
      <c r="B921" s="16" t="inlineStr">
        <is>
          <t>G25498</t>
        </is>
      </c>
      <c r="C921" s="17" t="inlineStr">
        <is>
          <t>DIAZ-ALONSO GUILLERMO</t>
        </is>
      </c>
      <c r="D921" s="17" t="inlineStr">
        <is>
          <t>TERRE ATIMAHIO-VAITE-PAAHA-... PARCELLE AM-8 98711 PAEA</t>
        </is>
      </c>
      <c r="E921" s="17" t="inlineStr">
        <is>
          <t>Patenté (Personne Physique)</t>
        </is>
      </c>
      <c r="F921" s="17" t="inlineStr">
        <is>
          <t>Patenté</t>
        </is>
      </c>
      <c r="G921" s="16" t="inlineStr">
        <is>
          <t>7739Z</t>
        </is>
      </c>
      <c r="H921" s="16" t="inlineStr">
        <is>
          <t>S</t>
        </is>
      </c>
      <c r="I921" s="17" t="inlineStr">
        <is>
          <t>Services</t>
        </is>
      </c>
      <c r="J921" s="18" t="n">
        <v>0</v>
      </c>
      <c r="K921" s="18" t="n">
        <v>1</v>
      </c>
      <c r="L921" s="17" t="inlineStr">
        <is>
          <t>25 1134 A</t>
        </is>
      </c>
      <c r="M921" s="17" t="inlineStr">
        <is>
          <t>M DIAZ-ALONSO GUILLERMO</t>
        </is>
      </c>
      <c r="N921" s="17" t="inlineStr">
        <is>
          <t>Chef d entreprise</t>
        </is>
      </c>
      <c r="O921" s="18" t="inlineStr">
        <is>
          <t>20835</t>
        </is>
      </c>
    </row>
    <row r="922" ht="20" customHeight="1">
      <c r="A922" s="13" t="inlineStr">
        <is>
          <t>PAEA-CCISM-0921</t>
        </is>
      </c>
      <c r="B922" s="13" t="inlineStr">
        <is>
          <t>C62771</t>
        </is>
      </c>
      <c r="C922" s="14" t="inlineStr">
        <is>
          <t>DIGITAL EXPERTS TAHITI</t>
        </is>
      </c>
      <c r="D922" s="14" t="inlineStr">
        <is>
          <t>98711 PAEA</t>
        </is>
      </c>
      <c r="E922" s="14" t="inlineStr">
        <is>
          <t>SARL</t>
        </is>
      </c>
      <c r="F922" s="14" t="inlineStr">
        <is>
          <t>Société</t>
        </is>
      </c>
      <c r="G922" s="13" t="inlineStr">
        <is>
          <t>7022Z</t>
        </is>
      </c>
      <c r="H922" s="13" t="inlineStr">
        <is>
          <t>S</t>
        </is>
      </c>
      <c r="I922" s="14" t="inlineStr">
        <is>
          <t>Services</t>
        </is>
      </c>
      <c r="J922" s="15" t="n">
        <v>0</v>
      </c>
      <c r="K922" s="15" t="n">
        <v>1</v>
      </c>
      <c r="L922" s="14" t="inlineStr">
        <is>
          <t>18 4 B</t>
        </is>
      </c>
      <c r="M922" s="14" t="inlineStr">
        <is>
          <t>Mme PONTAROLLO MURIEL</t>
        </is>
      </c>
      <c r="N922" s="14" t="inlineStr">
        <is>
          <t>Gérant et associé indéfiniment responsa</t>
        </is>
      </c>
      <c r="O922" s="15" t="inlineStr">
        <is>
          <t>20848</t>
        </is>
      </c>
    </row>
    <row r="923" ht="20" customHeight="1">
      <c r="A923" s="16" t="inlineStr">
        <is>
          <t>PAEA-CCISM-0922</t>
        </is>
      </c>
      <c r="B923" s="16" t="inlineStr">
        <is>
          <t>D64056</t>
        </is>
      </c>
      <c r="C923" s="17" t="inlineStr">
        <is>
          <t>DIVIN CECILE</t>
        </is>
      </c>
      <c r="D923" s="17" t="inlineStr">
        <is>
          <t>QUARTIER FAGNEAUX N°20 98711 PAEA</t>
        </is>
      </c>
      <c r="E923" s="17" t="inlineStr">
        <is>
          <t>Patenté (Personne Physique)</t>
        </is>
      </c>
      <c r="F923" s="17" t="inlineStr">
        <is>
          <t>Patenté</t>
        </is>
      </c>
      <c r="G923" s="16" t="inlineStr">
        <is>
          <t>9609Z</t>
        </is>
      </c>
      <c r="H923" s="16" t="inlineStr">
        <is>
          <t>S</t>
        </is>
      </c>
      <c r="I923" s="17" t="inlineStr">
        <is>
          <t>Services</t>
        </is>
      </c>
      <c r="J923" s="18" t="n">
        <v>0</v>
      </c>
      <c r="K923" s="18" t="n">
        <v>1</v>
      </c>
      <c r="L923" s="17" t="inlineStr">
        <is>
          <t>20 428 A</t>
        </is>
      </c>
      <c r="M923" s="17" t="inlineStr">
        <is>
          <t>Mme DIVIN CECILE</t>
        </is>
      </c>
      <c r="N923" s="17" t="inlineStr">
        <is>
          <t>Chef d entreprise</t>
        </is>
      </c>
      <c r="O923" s="18" t="inlineStr">
        <is>
          <t>20871</t>
        </is>
      </c>
    </row>
    <row r="924" ht="20" customHeight="1">
      <c r="A924" s="13" t="inlineStr">
        <is>
          <t>PAEA-CCISM-0923</t>
        </is>
      </c>
      <c r="B924" s="13" t="inlineStr">
        <is>
          <t>C92653</t>
        </is>
      </c>
      <c r="C924" s="14" t="inlineStr">
        <is>
          <t>DONZELOT GAEL</t>
        </is>
      </c>
      <c r="D924" s="14" t="inlineStr">
        <is>
          <t>14 LOTISSEMENT VAIPUARII LOT N° 98711 PAEA</t>
        </is>
      </c>
      <c r="E924" s="14" t="inlineStr">
        <is>
          <t>Patenté (Personne Physique)</t>
        </is>
      </c>
      <c r="F924" s="14" t="inlineStr">
        <is>
          <t>Patenté</t>
        </is>
      </c>
      <c r="G924" s="13" t="inlineStr">
        <is>
          <t>9003A</t>
        </is>
      </c>
      <c r="H924" s="13" t="inlineStr">
        <is>
          <t>S</t>
        </is>
      </c>
      <c r="I924" s="14" t="inlineStr">
        <is>
          <t>Services</t>
        </is>
      </c>
      <c r="J924" s="15" t="n">
        <v>0</v>
      </c>
      <c r="K924" s="15" t="n">
        <v>1</v>
      </c>
      <c r="L924" s="14" t="inlineStr">
        <is>
          <t>19 2663 A</t>
        </is>
      </c>
      <c r="M924" s="14" t="inlineStr">
        <is>
          <t>M DONZELOT GAEL</t>
        </is>
      </c>
      <c r="N924" s="14" t="inlineStr">
        <is>
          <t>Chef d entreprise</t>
        </is>
      </c>
      <c r="O924" s="15" t="inlineStr">
        <is>
          <t>20899</t>
        </is>
      </c>
    </row>
    <row r="925" ht="20" customHeight="1">
      <c r="A925" s="16" t="inlineStr">
        <is>
          <t>PAEA-CCISM-0924</t>
        </is>
      </c>
      <c r="B925" s="16" t="inlineStr">
        <is>
          <t>D04763</t>
        </is>
      </c>
      <c r="C925" s="17" t="inlineStr">
        <is>
          <t>DOUCET GREG</t>
        </is>
      </c>
      <c r="D925" s="17" t="inlineStr">
        <is>
          <t>QT AOU'A 98711 PAEA</t>
        </is>
      </c>
      <c r="E925" s="17" t="inlineStr">
        <is>
          <t>Patenté (Personne Physique)</t>
        </is>
      </c>
      <c r="F925" s="17" t="inlineStr">
        <is>
          <t>Patenté</t>
        </is>
      </c>
      <c r="G925" s="16" t="inlineStr">
        <is>
          <t>7022Z</t>
        </is>
      </c>
      <c r="H925" s="16" t="inlineStr">
        <is>
          <t>S</t>
        </is>
      </c>
      <c r="I925" s="17" t="inlineStr">
        <is>
          <t>Services</t>
        </is>
      </c>
      <c r="J925" s="18" t="n">
        <v>0</v>
      </c>
      <c r="K925" s="18" t="n">
        <v>1</v>
      </c>
      <c r="L925" s="17" t="inlineStr">
        <is>
          <t>18 2652 A</t>
        </is>
      </c>
      <c r="M925" s="17" t="inlineStr">
        <is>
          <t>M DOUCET GREG</t>
        </is>
      </c>
      <c r="N925" s="17" t="inlineStr">
        <is>
          <t>Chef d entreprise</t>
        </is>
      </c>
      <c r="O925" s="18" t="inlineStr">
        <is>
          <t>20932</t>
        </is>
      </c>
    </row>
    <row r="926" ht="20" customHeight="1">
      <c r="A926" s="13" t="inlineStr">
        <is>
          <t>PAEA-CCISM-0925</t>
        </is>
      </c>
      <c r="B926" s="13" t="inlineStr">
        <is>
          <t>F59788</t>
        </is>
      </c>
      <c r="C926" s="14" t="inlineStr">
        <is>
          <t>DOUDOU CREPES &amp; GAUFFRES</t>
        </is>
      </c>
      <c r="D926" s="14" t="inlineStr">
        <is>
          <t>98711 PAEA</t>
        </is>
      </c>
      <c r="E926" s="14" t="inlineStr">
        <is>
          <t>SARL Unipersonnelle</t>
        </is>
      </c>
      <c r="F926" s="14" t="inlineStr">
        <is>
          <t>Société</t>
        </is>
      </c>
      <c r="G926" s="13" t="inlineStr">
        <is>
          <t>7010Z</t>
        </is>
      </c>
      <c r="H926" s="13" t="inlineStr">
        <is>
          <t>S</t>
        </is>
      </c>
      <c r="I926" s="14" t="inlineStr">
        <is>
          <t>Services</t>
        </is>
      </c>
      <c r="J926" s="15" t="n">
        <v>0</v>
      </c>
      <c r="K926" s="15" t="n">
        <v>1</v>
      </c>
      <c r="L926" s="14" t="inlineStr">
        <is>
          <t>23 455 B</t>
        </is>
      </c>
      <c r="M926" s="14" t="inlineStr">
        <is>
          <t>Mme RENOUF (Née GAURIN) LEILANIE MAREVA</t>
        </is>
      </c>
      <c r="N926" s="14" t="inlineStr">
        <is>
          <t>Gérant</t>
        </is>
      </c>
      <c r="O926" s="15" t="inlineStr">
        <is>
          <t>20937</t>
        </is>
      </c>
    </row>
    <row r="927" ht="20" customHeight="1">
      <c r="A927" s="16" t="inlineStr">
        <is>
          <t>PAEA-CCISM-0926</t>
        </is>
      </c>
      <c r="B927" s="16" t="inlineStr">
        <is>
          <t>659250</t>
        </is>
      </c>
      <c r="C927" s="17" t="inlineStr">
        <is>
          <t>DRION TEIVA EMILE</t>
        </is>
      </c>
      <c r="D927" s="17" t="inlineStr">
        <is>
          <t>PAEA PK 18.500 C/MONT - PAPEHUE 98711 PAEA</t>
        </is>
      </c>
      <c r="E927" s="17" t="inlineStr">
        <is>
          <t>Patenté (Personne Physique)</t>
        </is>
      </c>
      <c r="F927" s="17" t="inlineStr">
        <is>
          <t>Patenté</t>
        </is>
      </c>
      <c r="G927" s="16" t="inlineStr">
        <is>
          <t>5911B</t>
        </is>
      </c>
      <c r="H927" s="16" t="inlineStr">
        <is>
          <t>S</t>
        </is>
      </c>
      <c r="I927" s="17" t="inlineStr">
        <is>
          <t>Services</t>
        </is>
      </c>
      <c r="J927" s="18" t="n">
        <v>0</v>
      </c>
      <c r="K927" s="18" t="n">
        <v>1</v>
      </c>
      <c r="L927" s="17" t="inlineStr">
        <is>
          <t>08 224 A</t>
        </is>
      </c>
      <c r="M927" s="17" t="inlineStr">
        <is>
          <t>M DRION TEIVA EMILE</t>
        </is>
      </c>
      <c r="N927" s="17" t="inlineStr">
        <is>
          <t>Chef d entreprise</t>
        </is>
      </c>
      <c r="O927" s="18" t="inlineStr">
        <is>
          <t>20963</t>
        </is>
      </c>
    </row>
    <row r="928" ht="20" customHeight="1">
      <c r="A928" s="13" t="inlineStr">
        <is>
          <t>PAEA-CCISM-0927</t>
        </is>
      </c>
      <c r="B928" s="13" t="inlineStr">
        <is>
          <t>717215</t>
        </is>
      </c>
      <c r="C928" s="14" t="inlineStr">
        <is>
          <t>DUBOIS VINCENT, ARIIOEHAU, HIRO</t>
        </is>
      </c>
      <c r="D928" s="14" t="inlineStr">
        <is>
          <t>PAEA PK 24.600 C/MONT 98711 PAEA</t>
        </is>
      </c>
      <c r="E928" s="14" t="inlineStr">
        <is>
          <t>Patenté (Personne Physique)</t>
        </is>
      </c>
      <c r="F928" s="14" t="inlineStr">
        <is>
          <t>Patenté</t>
        </is>
      </c>
      <c r="G928" s="13" t="inlineStr">
        <is>
          <t>9511Z</t>
        </is>
      </c>
      <c r="H928" s="13" t="inlineStr">
        <is>
          <t>S</t>
        </is>
      </c>
      <c r="I928" s="14" t="inlineStr">
        <is>
          <t>Services</t>
        </is>
      </c>
      <c r="J928" s="15" t="n">
        <v>0</v>
      </c>
      <c r="K928" s="15" t="n">
        <v>1</v>
      </c>
      <c r="L928" s="14" t="inlineStr">
        <is>
          <t>04 542 A</t>
        </is>
      </c>
      <c r="M928" s="14" t="inlineStr">
        <is>
          <t>M DUBOIS VINCENT, ARIIOEHAU, HIRO</t>
        </is>
      </c>
      <c r="N928" s="14" t="inlineStr">
        <is>
          <t>Chef d entreprise</t>
        </is>
      </c>
      <c r="O928" s="15" t="inlineStr">
        <is>
          <t>21004</t>
        </is>
      </c>
    </row>
    <row r="929" ht="20" customHeight="1">
      <c r="A929" s="16" t="inlineStr">
        <is>
          <t>PAEA-CCISM-0928</t>
        </is>
      </c>
      <c r="B929" s="16" t="inlineStr">
        <is>
          <t>A50135</t>
        </is>
      </c>
      <c r="C929" s="17" t="inlineStr">
        <is>
          <t>DUCHEIN AUDREY</t>
        </is>
      </c>
      <c r="D929" s="17" t="inlineStr">
        <is>
          <t>PAEA PK 24.100 C/MER 98711 PAEA</t>
        </is>
      </c>
      <c r="E929" s="17" t="inlineStr">
        <is>
          <t>Patenté (Personne Physique)</t>
        </is>
      </c>
      <c r="F929" s="17" t="inlineStr">
        <is>
          <t>Patenté</t>
        </is>
      </c>
      <c r="G929" s="16" t="inlineStr">
        <is>
          <t>6201Z</t>
        </is>
      </c>
      <c r="H929" s="16" t="inlineStr">
        <is>
          <t>S</t>
        </is>
      </c>
      <c r="I929" s="17" t="inlineStr">
        <is>
          <t>Services</t>
        </is>
      </c>
      <c r="J929" s="18" t="n">
        <v>0</v>
      </c>
      <c r="K929" s="18" t="n">
        <v>1</v>
      </c>
      <c r="L929" s="17" t="inlineStr">
        <is>
          <t>12 2139 A</t>
        </is>
      </c>
      <c r="M929" s="17" t="inlineStr">
        <is>
          <t>Mme DUCHEIN AUDREY</t>
        </is>
      </c>
      <c r="N929" s="17" t="inlineStr">
        <is>
          <t>Chef d entreprise</t>
        </is>
      </c>
      <c r="O929" s="18" t="inlineStr">
        <is>
          <t>21011</t>
        </is>
      </c>
    </row>
    <row r="930" ht="20" customHeight="1">
      <c r="A930" s="13" t="inlineStr">
        <is>
          <t>PAEA-CCISM-0929</t>
        </is>
      </c>
      <c r="B930" s="13" t="inlineStr">
        <is>
          <t>A86220</t>
        </is>
      </c>
      <c r="C930" s="14" t="inlineStr">
        <is>
          <t>DUCOUSSO LIONEL FREDERIC</t>
        </is>
      </c>
      <c r="D930" s="14" t="inlineStr">
        <is>
          <t>PRES APUARII 98711 PAEA</t>
        </is>
      </c>
      <c r="E930" s="14" t="inlineStr">
        <is>
          <t>Patenté (Personne Physique)</t>
        </is>
      </c>
      <c r="F930" s="14" t="inlineStr">
        <is>
          <t>Patenté</t>
        </is>
      </c>
      <c r="G930" s="13" t="inlineStr">
        <is>
          <t>9319Z</t>
        </is>
      </c>
      <c r="H930" s="13" t="inlineStr">
        <is>
          <t>S</t>
        </is>
      </c>
      <c r="I930" s="14" t="inlineStr">
        <is>
          <t>Services</t>
        </is>
      </c>
      <c r="J930" s="15" t="n">
        <v>0</v>
      </c>
      <c r="K930" s="15" t="n">
        <v>1</v>
      </c>
      <c r="L930" s="14" t="inlineStr">
        <is>
          <t>13 1963 A</t>
        </is>
      </c>
      <c r="M930" s="14" t="inlineStr">
        <is>
          <t>M DUCOUSSO LIONEL FREDERIC</t>
        </is>
      </c>
      <c r="N930" s="14" t="inlineStr">
        <is>
          <t>Chef d entreprise</t>
        </is>
      </c>
      <c r="O930" s="15" t="inlineStr">
        <is>
          <t>21013</t>
        </is>
      </c>
    </row>
    <row r="931" ht="20" customHeight="1">
      <c r="A931" s="16" t="inlineStr">
        <is>
          <t>PAEA-CCISM-0930</t>
        </is>
      </c>
      <c r="B931" s="16" t="inlineStr">
        <is>
          <t>D19647</t>
        </is>
      </c>
      <c r="C931" s="17" t="inlineStr">
        <is>
          <t>EASY LOC</t>
        </is>
      </c>
      <c r="D931" s="17" t="inlineStr">
        <is>
          <t>444 RTE RESIDENCE LES JARDINS DE PAEA ROUTE COLLÈGE PAEA - QUARTIER TIAPA 98711</t>
        </is>
      </c>
      <c r="E931" s="17" t="inlineStr">
        <is>
          <t>SARL</t>
        </is>
      </c>
      <c r="F931" s="17" t="inlineStr">
        <is>
          <t>Société</t>
        </is>
      </c>
      <c r="G931" s="16" t="inlineStr">
        <is>
          <t>9609Z</t>
        </is>
      </c>
      <c r="H931" s="16" t="inlineStr">
        <is>
          <t>S</t>
        </is>
      </c>
      <c r="I931" s="17" t="inlineStr">
        <is>
          <t>Services</t>
        </is>
      </c>
      <c r="J931" s="18" t="n">
        <v>0</v>
      </c>
      <c r="K931" s="18" t="n">
        <v>1</v>
      </c>
      <c r="L931" s="17" t="inlineStr">
        <is>
          <t>19 148 B</t>
        </is>
      </c>
      <c r="M931" s="17" t="inlineStr">
        <is>
          <t>M GALTIER ANTOINE, TEIKI</t>
        </is>
      </c>
      <c r="N931" s="17" t="inlineStr">
        <is>
          <t>Autre</t>
        </is>
      </c>
      <c r="O931" s="18" t="inlineStr">
        <is>
          <t>21101</t>
        </is>
      </c>
    </row>
    <row r="932" ht="20" customHeight="1">
      <c r="A932" s="13" t="inlineStr">
        <is>
          <t>PAEA-CCISM-0931</t>
        </is>
      </c>
      <c r="B932" s="13" t="inlineStr">
        <is>
          <t>F64929</t>
        </is>
      </c>
      <c r="C932" s="14" t="inlineStr">
        <is>
          <t>ELLIS KERETEKI</t>
        </is>
      </c>
      <c r="D932" s="14" t="inlineStr">
        <is>
          <t>SERV. VAIERI APUARII-N°29 - TEFAUHOMA 98711 PAEA</t>
        </is>
      </c>
      <c r="E932" s="14" t="inlineStr">
        <is>
          <t>Patenté (Personne Physique)</t>
        </is>
      </c>
      <c r="F932" s="14" t="inlineStr">
        <is>
          <t>Patenté</t>
        </is>
      </c>
      <c r="G932" s="13" t="inlineStr">
        <is>
          <t>5222Z</t>
        </is>
      </c>
      <c r="H932" s="13" t="inlineStr">
        <is>
          <t>S</t>
        </is>
      </c>
      <c r="I932" s="14" t="inlineStr">
        <is>
          <t>Services</t>
        </is>
      </c>
      <c r="J932" s="15" t="n">
        <v>0</v>
      </c>
      <c r="K932" s="15" t="n">
        <v>1</v>
      </c>
      <c r="L932" s="14" t="inlineStr">
        <is>
          <t>24 7 A</t>
        </is>
      </c>
      <c r="M932" s="14" t="inlineStr">
        <is>
          <t>M ELLIS KERETEKI</t>
        </is>
      </c>
      <c r="N932" s="14" t="inlineStr">
        <is>
          <t>Chef d entreprise 21188 SERVICE</t>
        </is>
      </c>
      <c r="O932" s="15" t="inlineStr"/>
    </row>
    <row r="933" ht="20" customHeight="1">
      <c r="A933" s="16" t="inlineStr">
        <is>
          <t>PAEA-CCISM-0932</t>
        </is>
      </c>
      <c r="B933" s="16" t="inlineStr">
        <is>
          <t>D24720</t>
        </is>
      </c>
      <c r="C933" s="17" t="inlineStr">
        <is>
          <t>ELLIS TEMARII</t>
        </is>
      </c>
      <c r="D933" s="17" t="inlineStr">
        <is>
          <t>QTR PICARD 98711 PAEA</t>
        </is>
      </c>
      <c r="E933" s="17" t="inlineStr">
        <is>
          <t>Patenté (Personne Physique)</t>
        </is>
      </c>
      <c r="F933" s="17" t="inlineStr">
        <is>
          <t>Patenté</t>
        </is>
      </c>
      <c r="G933" s="16" t="inlineStr">
        <is>
          <t>9609Z</t>
        </is>
      </c>
      <c r="H933" s="16" t="inlineStr">
        <is>
          <t>S</t>
        </is>
      </c>
      <c r="I933" s="17" t="inlineStr">
        <is>
          <t>Services</t>
        </is>
      </c>
      <c r="J933" s="18" t="n">
        <v>0</v>
      </c>
      <c r="K933" s="18" t="n">
        <v>1</v>
      </c>
      <c r="L933" s="17" t="inlineStr">
        <is>
          <t>19 1171 A</t>
        </is>
      </c>
      <c r="M933" s="17" t="inlineStr">
        <is>
          <t>M ELLIS TEMARII</t>
        </is>
      </c>
      <c r="N933" s="17" t="inlineStr">
        <is>
          <t>Chef d entreprise</t>
        </is>
      </c>
      <c r="O933" s="18" t="inlineStr">
        <is>
          <t>21192</t>
        </is>
      </c>
    </row>
    <row r="934" ht="20" customHeight="1">
      <c r="A934" s="13" t="inlineStr">
        <is>
          <t>PAEA-CCISM-0933</t>
        </is>
      </c>
      <c r="B934" s="13" t="inlineStr">
        <is>
          <t>920363</t>
        </is>
      </c>
      <c r="C934" s="14" t="inlineStr">
        <is>
          <t>EPERANIA-TETUAITEROI VAINETI TEHANI</t>
        </is>
      </c>
      <c r="D934" s="14" t="inlineStr">
        <is>
          <t>QUARTIER APUARII 98711 PAEA</t>
        </is>
      </c>
      <c r="E934" s="14" t="inlineStr">
        <is>
          <t>Patenté (Personne Physique)</t>
        </is>
      </c>
      <c r="F934" s="14" t="inlineStr">
        <is>
          <t>Patenté</t>
        </is>
      </c>
      <c r="G934" s="13" t="inlineStr">
        <is>
          <t>5320Z</t>
        </is>
      </c>
      <c r="H934" s="13" t="inlineStr">
        <is>
          <t>S</t>
        </is>
      </c>
      <c r="I934" s="14" t="inlineStr">
        <is>
          <t>Services</t>
        </is>
      </c>
      <c r="J934" s="15" t="n">
        <v>0</v>
      </c>
      <c r="K934" s="15" t="n">
        <v>1</v>
      </c>
      <c r="L934" s="14" t="inlineStr">
        <is>
          <t>21 2877 A</t>
        </is>
      </c>
      <c r="M934" s="14" t="inlineStr">
        <is>
          <t>Mme EPERANIA-TETUAITEROI VAINETI TEHANI</t>
        </is>
      </c>
      <c r="N934" s="14" t="inlineStr">
        <is>
          <t>Chef d entreprise</t>
        </is>
      </c>
      <c r="O934" s="15" t="inlineStr">
        <is>
          <t>21244</t>
        </is>
      </c>
    </row>
    <row r="935" ht="20" customHeight="1">
      <c r="A935" s="16" t="inlineStr">
        <is>
          <t>PAEA-CCISM-0934</t>
        </is>
      </c>
      <c r="B935" s="16" t="inlineStr">
        <is>
          <t>C01662</t>
        </is>
      </c>
      <c r="C935" s="17" t="inlineStr">
        <is>
          <t>ESPACE NATURA</t>
        </is>
      </c>
      <c r="D935" s="17" t="inlineStr">
        <is>
          <t>TERRE VIHIAURA - PARCELLE AC N°441 98711 PAEA</t>
        </is>
      </c>
      <c r="E935" s="17" t="inlineStr">
        <is>
          <t>SARL</t>
        </is>
      </c>
      <c r="F935" s="17" t="inlineStr">
        <is>
          <t>Société</t>
        </is>
      </c>
      <c r="G935" s="16" t="inlineStr">
        <is>
          <t>8130Z</t>
        </is>
      </c>
      <c r="H935" s="16" t="inlineStr">
        <is>
          <t>S</t>
        </is>
      </c>
      <c r="I935" s="17" t="inlineStr">
        <is>
          <t>Services</t>
        </is>
      </c>
      <c r="J935" s="18" t="n">
        <v>5</v>
      </c>
      <c r="K935" s="18" t="n">
        <v>1</v>
      </c>
      <c r="L935" s="17" t="inlineStr">
        <is>
          <t>16 206 B</t>
        </is>
      </c>
      <c r="M935" s="17" t="inlineStr">
        <is>
          <t>M SALMON TERIITUA</t>
        </is>
      </c>
      <c r="N935" s="17" t="inlineStr">
        <is>
          <t>Gérant</t>
        </is>
      </c>
      <c r="O935" s="18" t="inlineStr">
        <is>
          <t>21267</t>
        </is>
      </c>
    </row>
    <row r="936" ht="20" customHeight="1">
      <c r="A936" s="13" t="inlineStr">
        <is>
          <t>PAEA-CCISM-0935</t>
        </is>
      </c>
      <c r="B936" s="13" t="inlineStr">
        <is>
          <t>B44086</t>
        </is>
      </c>
      <c r="C936" s="14" t="inlineStr">
        <is>
          <t>FAARA VAIMITI</t>
        </is>
      </c>
      <c r="D936" s="14" t="inlineStr">
        <is>
          <t>RTE DE LA VALLEE OROFERO SERVITUDE MASSIN 98711 PAEA</t>
        </is>
      </c>
      <c r="E936" s="14" t="inlineStr">
        <is>
          <t>Patenté (Personne Physique)</t>
        </is>
      </c>
      <c r="F936" s="14" t="inlineStr">
        <is>
          <t>Patenté</t>
        </is>
      </c>
      <c r="G936" s="13" t="inlineStr">
        <is>
          <t>9609Z</t>
        </is>
      </c>
      <c r="H936" s="13" t="inlineStr">
        <is>
          <t>S</t>
        </is>
      </c>
      <c r="I936" s="14" t="inlineStr">
        <is>
          <t>Services</t>
        </is>
      </c>
      <c r="J936" s="15" t="n">
        <v>0</v>
      </c>
      <c r="K936" s="15" t="n">
        <v>1</v>
      </c>
      <c r="L936" s="14" t="inlineStr">
        <is>
          <t>15 769 A</t>
        </is>
      </c>
      <c r="M936" s="14" t="inlineStr">
        <is>
          <t>Mme FAARA VAIMITI</t>
        </is>
      </c>
      <c r="N936" s="14" t="inlineStr">
        <is>
          <t>Chef d entreprise</t>
        </is>
      </c>
      <c r="O936" s="15" t="inlineStr">
        <is>
          <t>21387</t>
        </is>
      </c>
    </row>
    <row r="937" ht="20" customHeight="1">
      <c r="A937" s="16" t="inlineStr">
        <is>
          <t>PAEA-CCISM-0936</t>
        </is>
      </c>
      <c r="B937" s="16" t="inlineStr">
        <is>
          <t>E70514</t>
        </is>
      </c>
      <c r="C937" s="17" t="inlineStr">
        <is>
          <t>FAATOMO MANAMANA</t>
        </is>
      </c>
      <c r="D937" s="17" t="inlineStr">
        <is>
          <t>SERVITUDE PICARD L 98711 PAEA</t>
        </is>
      </c>
      <c r="E937" s="17" t="inlineStr">
        <is>
          <t>Patenté (Personne Physique)</t>
        </is>
      </c>
      <c r="F937" s="17" t="inlineStr">
        <is>
          <t>Patenté</t>
        </is>
      </c>
      <c r="G937" s="16" t="inlineStr">
        <is>
          <t>4941C</t>
        </is>
      </c>
      <c r="H937" s="16" t="inlineStr">
        <is>
          <t>S</t>
        </is>
      </c>
      <c r="I937" s="17" t="inlineStr">
        <is>
          <t>Services</t>
        </is>
      </c>
      <c r="J937" s="18" t="n">
        <v>0</v>
      </c>
      <c r="K937" s="18" t="n">
        <v>1</v>
      </c>
      <c r="L937" s="17" t="inlineStr">
        <is>
          <t>22 758 A</t>
        </is>
      </c>
      <c r="M937" s="17" t="inlineStr">
        <is>
          <t>M FAATOMO MANAMANA</t>
        </is>
      </c>
      <c r="N937" s="17" t="inlineStr">
        <is>
          <t>Chef d entreprise</t>
        </is>
      </c>
      <c r="O937" s="18" t="inlineStr">
        <is>
          <t>21424</t>
        </is>
      </c>
    </row>
    <row r="938" ht="20" customHeight="1">
      <c r="A938" s="13" t="inlineStr">
        <is>
          <t>PAEA-CCISM-0937</t>
        </is>
      </c>
      <c r="B938" s="13" t="inlineStr">
        <is>
          <t>B69950</t>
        </is>
      </c>
      <c r="C938" s="14" t="inlineStr">
        <is>
          <t>FAGEOLLES ISBAELLE</t>
        </is>
      </c>
      <c r="D938" s="14" t="inlineStr">
        <is>
          <t>SERVITUDE TAHUNA 98711 PAEA</t>
        </is>
      </c>
      <c r="E938" s="14" t="inlineStr">
        <is>
          <t>Patenté (Personne Physique)</t>
        </is>
      </c>
      <c r="F938" s="14" t="inlineStr">
        <is>
          <t>Patenté</t>
        </is>
      </c>
      <c r="G938" s="13" t="inlineStr">
        <is>
          <t>5520Z</t>
        </is>
      </c>
      <c r="H938" s="13" t="inlineStr">
        <is>
          <t>S</t>
        </is>
      </c>
      <c r="I938" s="14" t="inlineStr">
        <is>
          <t>Services</t>
        </is>
      </c>
      <c r="J938" s="15" t="n">
        <v>0</v>
      </c>
      <c r="K938" s="15" t="n">
        <v>1</v>
      </c>
      <c r="L938" s="14" t="inlineStr">
        <is>
          <t>21 2704 A</t>
        </is>
      </c>
      <c r="M938" s="14" t="inlineStr">
        <is>
          <t>Mme FAGEOLLES ISBAELLE</t>
        </is>
      </c>
      <c r="N938" s="14" t="inlineStr">
        <is>
          <t>Chef d entreprise</t>
        </is>
      </c>
      <c r="O938" s="15" t="inlineStr">
        <is>
          <t>21442</t>
        </is>
      </c>
    </row>
    <row r="939" ht="20" customHeight="1">
      <c r="A939" s="16" t="inlineStr">
        <is>
          <t>PAEA-CCISM-0938</t>
        </is>
      </c>
      <c r="B939" s="16" t="inlineStr">
        <is>
          <t>F92425</t>
        </is>
      </c>
      <c r="C939" s="17" t="inlineStr">
        <is>
          <t>FAURA MATAHA</t>
        </is>
      </c>
      <c r="D939" s="17" t="inlineStr">
        <is>
          <t>SERVITUDE CHAPMAN 1 LOT 20 98711 PAEA</t>
        </is>
      </c>
      <c r="E939" s="17" t="inlineStr">
        <is>
          <t>Patenté (Personne Physique)</t>
        </is>
      </c>
      <c r="F939" s="17" t="inlineStr">
        <is>
          <t>Patenté</t>
        </is>
      </c>
      <c r="G939" s="16" t="inlineStr">
        <is>
          <t>5911B</t>
        </is>
      </c>
      <c r="H939" s="16" t="inlineStr">
        <is>
          <t>S</t>
        </is>
      </c>
      <c r="I939" s="17" t="inlineStr">
        <is>
          <t>Services</t>
        </is>
      </c>
      <c r="J939" s="18" t="n">
        <v>0</v>
      </c>
      <c r="K939" s="18" t="n">
        <v>1</v>
      </c>
      <c r="L939" s="17" t="inlineStr">
        <is>
          <t>24 1716 A</t>
        </is>
      </c>
      <c r="M939" s="17" t="inlineStr">
        <is>
          <t>Mme FAURA MATAHA</t>
        </is>
      </c>
      <c r="N939" s="17" t="inlineStr">
        <is>
          <t>Chef d entreprise</t>
        </is>
      </c>
      <c r="O939" s="18" t="inlineStr">
        <is>
          <t>21572</t>
        </is>
      </c>
    </row>
    <row r="940" ht="20" customHeight="1">
      <c r="A940" s="13" t="inlineStr">
        <is>
          <t>PAEA-CCISM-0939</t>
        </is>
      </c>
      <c r="B940" s="13" t="inlineStr">
        <is>
          <t>146571</t>
        </is>
      </c>
      <c r="C940" s="14" t="inlineStr">
        <is>
          <t>FAVRE CORINNE</t>
        </is>
      </c>
      <c r="D940" s="14" t="inlineStr">
        <is>
          <t>RES WHITE PLAGE 98711 PAEA</t>
        </is>
      </c>
      <c r="E940" s="14" t="inlineStr">
        <is>
          <t>Patenté (Personne Physique)</t>
        </is>
      </c>
      <c r="F940" s="14" t="inlineStr">
        <is>
          <t>Patenté</t>
        </is>
      </c>
      <c r="G940" s="13" t="inlineStr">
        <is>
          <t>5520Z</t>
        </is>
      </c>
      <c r="H940" s="13" t="inlineStr">
        <is>
          <t>S</t>
        </is>
      </c>
      <c r="I940" s="14" t="inlineStr">
        <is>
          <t>Services</t>
        </is>
      </c>
      <c r="J940" s="15" t="n">
        <v>0</v>
      </c>
      <c r="K940" s="15" t="n">
        <v>1</v>
      </c>
      <c r="L940" s="14" t="inlineStr">
        <is>
          <t>23 2926 A</t>
        </is>
      </c>
      <c r="M940" s="14" t="inlineStr">
        <is>
          <t>Mme FAVRE CORINNE</t>
        </is>
      </c>
      <c r="N940" s="14" t="inlineStr">
        <is>
          <t>Chef d entreprise</t>
        </is>
      </c>
      <c r="O940" s="15" t="inlineStr">
        <is>
          <t>21588</t>
        </is>
      </c>
    </row>
    <row r="941" ht="20" customHeight="1">
      <c r="A941" s="16" t="inlineStr">
        <is>
          <t>PAEA-CCISM-0940</t>
        </is>
      </c>
      <c r="B941" s="16" t="inlineStr">
        <is>
          <t>E22648</t>
        </is>
      </c>
      <c r="C941" s="17" t="inlineStr">
        <is>
          <t>FERBER YVANNA</t>
        </is>
      </c>
      <c r="D941" s="17" t="inlineStr">
        <is>
          <t>PK 19,100 CT/MONT 98711 PAEA</t>
        </is>
      </c>
      <c r="E941" s="17" t="inlineStr">
        <is>
          <t>Patenté (Personne Physique)</t>
        </is>
      </c>
      <c r="F941" s="17" t="inlineStr">
        <is>
          <t>Patenté</t>
        </is>
      </c>
      <c r="G941" s="16" t="inlineStr">
        <is>
          <t>9609Z</t>
        </is>
      </c>
      <c r="H941" s="16" t="inlineStr">
        <is>
          <t>S</t>
        </is>
      </c>
      <c r="I941" s="17" t="inlineStr">
        <is>
          <t>Services</t>
        </is>
      </c>
      <c r="J941" s="18" t="n">
        <v>0</v>
      </c>
      <c r="K941" s="18" t="n">
        <v>1</v>
      </c>
      <c r="L941" s="17" t="inlineStr">
        <is>
          <t>21 1087 A</t>
        </is>
      </c>
      <c r="M941" s="17" t="inlineStr">
        <is>
          <t>Mme FERBER YVANNA</t>
        </is>
      </c>
      <c r="N941" s="17" t="inlineStr">
        <is>
          <t>Chef d entreprise</t>
        </is>
      </c>
      <c r="O941" s="18" t="inlineStr">
        <is>
          <t>21640</t>
        </is>
      </c>
    </row>
    <row r="942" ht="20" customHeight="1">
      <c r="A942" s="13" t="inlineStr">
        <is>
          <t>PAEA-CCISM-0941</t>
        </is>
      </c>
      <c r="B942" s="13" t="inlineStr">
        <is>
          <t>B71584</t>
        </is>
      </c>
      <c r="C942" s="14" t="inlineStr">
        <is>
          <t>FILMIN' TAHITI</t>
        </is>
      </c>
      <c r="D942" s="14" t="inlineStr">
        <is>
          <t>98711 PAEA</t>
        </is>
      </c>
      <c r="E942" s="14" t="inlineStr">
        <is>
          <t>SARL</t>
        </is>
      </c>
      <c r="F942" s="14" t="inlineStr">
        <is>
          <t>Société</t>
        </is>
      </c>
      <c r="G942" s="13" t="inlineStr">
        <is>
          <t>5911B</t>
        </is>
      </c>
      <c r="H942" s="13" t="inlineStr">
        <is>
          <t>S</t>
        </is>
      </c>
      <c r="I942" s="14" t="inlineStr">
        <is>
          <t>Services</t>
        </is>
      </c>
      <c r="J942" s="15" t="n">
        <v>0</v>
      </c>
      <c r="K942" s="15" t="n">
        <v>1</v>
      </c>
      <c r="L942" s="14" t="inlineStr">
        <is>
          <t>15 290 B</t>
        </is>
      </c>
      <c r="M942" s="14" t="inlineStr">
        <is>
          <t>M JACQUEMIN LAURENT</t>
        </is>
      </c>
      <c r="N942" s="14" t="inlineStr">
        <is>
          <t>Gérant</t>
        </is>
      </c>
      <c r="O942" s="15" t="inlineStr">
        <is>
          <t>21687</t>
        </is>
      </c>
    </row>
    <row r="943" ht="20" customHeight="1">
      <c r="A943" s="16" t="inlineStr">
        <is>
          <t>PAEA-CCISM-0942</t>
        </is>
      </c>
      <c r="B943" s="16" t="inlineStr">
        <is>
          <t>D09283</t>
        </is>
      </c>
      <c r="C943" s="17" t="inlineStr">
        <is>
          <t>FLEUR GUILLAUME</t>
        </is>
      </c>
      <c r="D943" s="17" t="inlineStr">
        <is>
          <t>RTE DE LA VALLEE OROFERO SERV RAIPAI 98711 PAEA</t>
        </is>
      </c>
      <c r="E943" s="17" t="inlineStr">
        <is>
          <t>Patenté (Personne Physique)</t>
        </is>
      </c>
      <c r="F943" s="17" t="inlineStr">
        <is>
          <t>Patenté</t>
        </is>
      </c>
      <c r="G943" s="16" t="inlineStr">
        <is>
          <t>8230Z</t>
        </is>
      </c>
      <c r="H943" s="16" t="inlineStr">
        <is>
          <t>S</t>
        </is>
      </c>
      <c r="I943" s="17" t="inlineStr">
        <is>
          <t>Services</t>
        </is>
      </c>
      <c r="J943" s="18" t="n">
        <v>0</v>
      </c>
      <c r="K943" s="18" t="n">
        <v>1</v>
      </c>
      <c r="L943" s="17" t="inlineStr">
        <is>
          <t>19 45 A</t>
        </is>
      </c>
      <c r="M943" s="17" t="inlineStr">
        <is>
          <t>M FLEUR GUILLAUME</t>
        </is>
      </c>
      <c r="N943" s="17" t="inlineStr">
        <is>
          <t>Chef d entreprise</t>
        </is>
      </c>
      <c r="O943" s="18" t="inlineStr">
        <is>
          <t>21719</t>
        </is>
      </c>
    </row>
    <row r="944" ht="20" customHeight="1">
      <c r="A944" s="13" t="inlineStr">
        <is>
          <t>PAEA-CCISM-0943</t>
        </is>
      </c>
      <c r="B944" s="13" t="inlineStr">
        <is>
          <t>F85551</t>
        </is>
      </c>
      <c r="C944" s="14" t="inlineStr">
        <is>
          <t>FLEUR MORGANE</t>
        </is>
      </c>
      <c r="D944" s="14" t="inlineStr">
        <is>
          <t>OROFERO - SERV. RAIPAI 98711 PAEA</t>
        </is>
      </c>
      <c r="E944" s="14" t="inlineStr">
        <is>
          <t>Patenté (Personne Physique)</t>
        </is>
      </c>
      <c r="F944" s="14" t="inlineStr">
        <is>
          <t>Patenté</t>
        </is>
      </c>
      <c r="G944" s="13" t="inlineStr">
        <is>
          <t>7739Z</t>
        </is>
      </c>
      <c r="H944" s="13" t="inlineStr">
        <is>
          <t>S</t>
        </is>
      </c>
      <c r="I944" s="14" t="inlineStr">
        <is>
          <t>Services</t>
        </is>
      </c>
      <c r="J944" s="15" t="n">
        <v>0</v>
      </c>
      <c r="K944" s="15" t="n">
        <v>1</v>
      </c>
      <c r="L944" s="14" t="inlineStr">
        <is>
          <t>24 1293 A</t>
        </is>
      </c>
      <c r="M944" s="14" t="inlineStr">
        <is>
          <t>Mme FLEUR MORGANE</t>
        </is>
      </c>
      <c r="N944" s="14" t="inlineStr">
        <is>
          <t>Chef d entreprise</t>
        </is>
      </c>
      <c r="O944" s="15" t="inlineStr">
        <is>
          <t>21720</t>
        </is>
      </c>
    </row>
    <row r="945" ht="20" customHeight="1">
      <c r="A945" s="16" t="inlineStr">
        <is>
          <t>PAEA-CCISM-0944</t>
        </is>
      </c>
      <c r="B945" s="16" t="inlineStr">
        <is>
          <t>E29759</t>
        </is>
      </c>
      <c r="C945" s="17" t="inlineStr">
        <is>
          <t>FONG SUNG NEE TEHAAMOANA MARIE, TIARERE</t>
        </is>
      </c>
      <c r="D945" s="17" t="inlineStr">
        <is>
          <t>SERVITUDE BREMOND 98711 PAEA</t>
        </is>
      </c>
      <c r="E945" s="17" t="inlineStr">
        <is>
          <t>Patenté (Personne Physique)</t>
        </is>
      </c>
      <c r="F945" s="17" t="inlineStr">
        <is>
          <t>Patenté</t>
        </is>
      </c>
      <c r="G945" s="16" t="inlineStr">
        <is>
          <t>7311Z</t>
        </is>
      </c>
      <c r="H945" s="16" t="inlineStr">
        <is>
          <t>S</t>
        </is>
      </c>
      <c r="I945" s="17" t="inlineStr">
        <is>
          <t>Services</t>
        </is>
      </c>
      <c r="J945" s="18" t="n">
        <v>0</v>
      </c>
      <c r="K945" s="18" t="n">
        <v>1</v>
      </c>
      <c r="L945" s="17" t="inlineStr">
        <is>
          <t>21 1575 A</t>
        </is>
      </c>
      <c r="M945" s="17" t="inlineStr">
        <is>
          <t>Mme FONG SUNG (Née TEHAAMOANA) MARIE, TIARERE</t>
        </is>
      </c>
      <c r="N945" s="17" t="inlineStr">
        <is>
          <t>Chef d entreprise</t>
        </is>
      </c>
      <c r="O945" s="18" t="inlineStr">
        <is>
          <t>21772</t>
        </is>
      </c>
    </row>
    <row r="946" ht="20" customHeight="1">
      <c r="A946" s="13" t="inlineStr">
        <is>
          <t>PAEA-CCISM-0945</t>
        </is>
      </c>
      <c r="B946" s="13" t="inlineStr">
        <is>
          <t>B14899</t>
        </is>
      </c>
      <c r="C946" s="14" t="inlineStr">
        <is>
          <t>FRACHISSE CHRISTELLE</t>
        </is>
      </c>
      <c r="D946" s="14" t="inlineStr">
        <is>
          <t>LOT PAPEHUE 98711 PAEA</t>
        </is>
      </c>
      <c r="E946" s="14" t="inlineStr">
        <is>
          <t>Patenté (Personne Physique)</t>
        </is>
      </c>
      <c r="F946" s="14" t="inlineStr">
        <is>
          <t>Patenté</t>
        </is>
      </c>
      <c r="G946" s="13" t="inlineStr">
        <is>
          <t>7311Z</t>
        </is>
      </c>
      <c r="H946" s="13" t="inlineStr">
        <is>
          <t>S</t>
        </is>
      </c>
      <c r="I946" s="14" t="inlineStr">
        <is>
          <t>Services</t>
        </is>
      </c>
      <c r="J946" s="15" t="n">
        <v>0</v>
      </c>
      <c r="K946" s="15" t="n">
        <v>1</v>
      </c>
      <c r="L946" s="14" t="inlineStr">
        <is>
          <t>14 1296 A</t>
        </is>
      </c>
      <c r="M946" s="14" t="inlineStr">
        <is>
          <t>Mme FRACHISSE CHRISTELLE</t>
        </is>
      </c>
      <c r="N946" s="14" t="inlineStr">
        <is>
          <t>Chef d entreprise</t>
        </is>
      </c>
      <c r="O946" s="15" t="inlineStr">
        <is>
          <t>21834</t>
        </is>
      </c>
    </row>
    <row r="947" ht="20" customHeight="1">
      <c r="A947" s="16" t="inlineStr">
        <is>
          <t>PAEA-CCISM-0946</t>
        </is>
      </c>
      <c r="B947" s="16" t="inlineStr">
        <is>
          <t>F09619</t>
        </is>
      </c>
      <c r="C947" s="17" t="inlineStr">
        <is>
          <t>FRIGOUT TAMATEA</t>
        </is>
      </c>
      <c r="D947" s="17" t="inlineStr">
        <is>
          <t>N°9 LOTISS PAPEHUE 98711 PAEA</t>
        </is>
      </c>
      <c r="E947" s="17" t="inlineStr">
        <is>
          <t>Patenté (Personne Physique)</t>
        </is>
      </c>
      <c r="F947" s="17" t="inlineStr">
        <is>
          <t>Patenté</t>
        </is>
      </c>
      <c r="G947" s="16" t="inlineStr">
        <is>
          <t>7410Z</t>
        </is>
      </c>
      <c r="H947" s="16" t="inlineStr">
        <is>
          <t>S</t>
        </is>
      </c>
      <c r="I947" s="17" t="inlineStr">
        <is>
          <t>Services</t>
        </is>
      </c>
      <c r="J947" s="18" t="n">
        <v>0</v>
      </c>
      <c r="K947" s="18" t="n">
        <v>1</v>
      </c>
      <c r="L947" s="17" t="inlineStr">
        <is>
          <t>22 3424 A</t>
        </is>
      </c>
      <c r="M947" s="17" t="inlineStr">
        <is>
          <t>M FRIGOUT TAMATEA</t>
        </is>
      </c>
      <c r="N947" s="17" t="inlineStr">
        <is>
          <t>Chef d entreprise</t>
        </is>
      </c>
      <c r="O947" s="18" t="inlineStr">
        <is>
          <t>21871</t>
        </is>
      </c>
    </row>
    <row r="948" ht="20" customHeight="1">
      <c r="A948" s="13" t="inlineStr">
        <is>
          <t>PAEA-CCISM-0947</t>
        </is>
      </c>
      <c r="B948" s="13" t="inlineStr">
        <is>
          <t>D19043</t>
        </is>
      </c>
      <c r="C948" s="14" t="inlineStr">
        <is>
          <t>FROGIER DYLAN, TIHONI</t>
        </is>
      </c>
      <c r="D948" s="14" t="inlineStr">
        <is>
          <t>RTE DU MARAE ARAHURAHU 98711 PAEA</t>
        </is>
      </c>
      <c r="E948" s="14" t="inlineStr">
        <is>
          <t>Patenté (Personne Physique)</t>
        </is>
      </c>
      <c r="F948" s="14" t="inlineStr">
        <is>
          <t>Patenté</t>
        </is>
      </c>
      <c r="G948" s="13" t="inlineStr">
        <is>
          <t>9609Z</t>
        </is>
      </c>
      <c r="H948" s="13" t="inlineStr">
        <is>
          <t>S</t>
        </is>
      </c>
      <c r="I948" s="14" t="inlineStr">
        <is>
          <t>Services</t>
        </is>
      </c>
      <c r="J948" s="15" t="n">
        <v>0</v>
      </c>
      <c r="K948" s="15" t="n">
        <v>1</v>
      </c>
      <c r="L948" s="14" t="inlineStr">
        <is>
          <t>19 760 A</t>
        </is>
      </c>
      <c r="M948" s="14" t="inlineStr">
        <is>
          <t>M FROGIER DYLAN, TIHONI</t>
        </is>
      </c>
      <c r="N948" s="14" t="inlineStr">
        <is>
          <t>Chef d entreprise</t>
        </is>
      </c>
      <c r="O948" s="15" t="inlineStr">
        <is>
          <t>21876</t>
        </is>
      </c>
    </row>
    <row r="949" ht="20" customHeight="1">
      <c r="A949" s="16" t="inlineStr">
        <is>
          <t>PAEA-CCISM-0948</t>
        </is>
      </c>
      <c r="B949" s="16" t="inlineStr">
        <is>
          <t>267591</t>
        </is>
      </c>
      <c r="C949" s="17" t="inlineStr">
        <is>
          <t>FROGIER JAMES FLOYD ROGER TEMAUIARII</t>
        </is>
      </c>
      <c r="D949" s="17" t="inlineStr">
        <is>
          <t>PAEA PK 19.500 C/MONT 98711 PAEA</t>
        </is>
      </c>
      <c r="E949" s="17" t="inlineStr">
        <is>
          <t>Patenté (Personne Physique)</t>
        </is>
      </c>
      <c r="F949" s="17" t="inlineStr">
        <is>
          <t>Patenté</t>
        </is>
      </c>
      <c r="G949" s="16" t="inlineStr">
        <is>
          <t>9329Z</t>
        </is>
      </c>
      <c r="H949" s="16" t="inlineStr">
        <is>
          <t>S</t>
        </is>
      </c>
      <c r="I949" s="17" t="inlineStr">
        <is>
          <t>Services</t>
        </is>
      </c>
      <c r="J949" s="18" t="n">
        <v>10</v>
      </c>
      <c r="K949" s="18" t="n">
        <v>2</v>
      </c>
      <c r="L949" s="17" t="inlineStr">
        <is>
          <t>05 1800 A</t>
        </is>
      </c>
      <c r="M949" s="17" t="inlineStr">
        <is>
          <t>M FROGIER JAMES FLOYD ROGER TEMAUIARII</t>
        </is>
      </c>
      <c r="N949" s="17" t="inlineStr">
        <is>
          <t>Chef d entreprise</t>
        </is>
      </c>
      <c r="O949" s="18" t="inlineStr">
        <is>
          <t>21878</t>
        </is>
      </c>
    </row>
    <row r="950" ht="20" customHeight="1">
      <c r="A950" s="13" t="inlineStr">
        <is>
          <t>PAEA-CCISM-0949</t>
        </is>
      </c>
      <c r="B950" s="13" t="inlineStr">
        <is>
          <t>603282</t>
        </is>
      </c>
      <c r="C950" s="14" t="inlineStr">
        <is>
          <t>FROGIER MILUSKA MARILYNE</t>
        </is>
      </c>
      <c r="D950" s="14" t="inlineStr">
        <is>
          <t>SERV FROGIER 98711 PAEA</t>
        </is>
      </c>
      <c r="E950" s="14" t="inlineStr">
        <is>
          <t>Patenté (Personne Physique)</t>
        </is>
      </c>
      <c r="F950" s="14" t="inlineStr">
        <is>
          <t>Patenté</t>
        </is>
      </c>
      <c r="G950" s="13" t="inlineStr">
        <is>
          <t>5520Z</t>
        </is>
      </c>
      <c r="H950" s="13" t="inlineStr">
        <is>
          <t>S</t>
        </is>
      </c>
      <c r="I950" s="14" t="inlineStr">
        <is>
          <t>Services</t>
        </is>
      </c>
      <c r="J950" s="15" t="n">
        <v>3</v>
      </c>
      <c r="K950" s="15" t="n">
        <v>1</v>
      </c>
      <c r="L950" s="14" t="inlineStr">
        <is>
          <t>19 3234 A</t>
        </is>
      </c>
      <c r="M950" s="14" t="inlineStr">
        <is>
          <t>Mme FROGIER MILUSKA MARILYNE</t>
        </is>
      </c>
      <c r="N950" s="14" t="inlineStr">
        <is>
          <t>Chef d entreprise</t>
        </is>
      </c>
      <c r="O950" s="15" t="inlineStr">
        <is>
          <t>21880</t>
        </is>
      </c>
    </row>
    <row r="951" ht="20" customHeight="1">
      <c r="A951" s="16" t="inlineStr">
        <is>
          <t>PAEA-CCISM-0950</t>
        </is>
      </c>
      <c r="B951" s="16" t="inlineStr">
        <is>
          <t>629543</t>
        </is>
      </c>
      <c r="C951" s="17" t="inlineStr">
        <is>
          <t>FROGIER NEE MEYER RAHEI VAHINE</t>
        </is>
      </c>
      <c r="D951" s="17" t="inlineStr">
        <is>
          <t>DERRIERE KUNG G. 98711 PAEA</t>
        </is>
      </c>
      <c r="E951" s="17" t="inlineStr">
        <is>
          <t>Patenté (Personne Physique)</t>
        </is>
      </c>
      <c r="F951" s="17" t="inlineStr">
        <is>
          <t>Patenté</t>
        </is>
      </c>
      <c r="G951" s="16" t="inlineStr">
        <is>
          <t>9609Z</t>
        </is>
      </c>
      <c r="H951" s="16" t="inlineStr">
        <is>
          <t>S</t>
        </is>
      </c>
      <c r="I951" s="17" t="inlineStr">
        <is>
          <t>Services</t>
        </is>
      </c>
      <c r="J951" s="18" t="n">
        <v>0</v>
      </c>
      <c r="K951" s="18" t="n">
        <v>1</v>
      </c>
      <c r="L951" s="17" t="inlineStr">
        <is>
          <t>22 3052 A</t>
        </is>
      </c>
      <c r="M951" s="17" t="inlineStr">
        <is>
          <t>Mme FROGIER (Née MEYER) RAHEI VAHINE</t>
        </is>
      </c>
      <c r="N951" s="17" t="inlineStr">
        <is>
          <t>Chef d entreprise 21882 SERVICE</t>
        </is>
      </c>
      <c r="O951" s="18" t="inlineStr"/>
    </row>
    <row r="952" ht="20" customHeight="1">
      <c r="A952" s="13" t="inlineStr">
        <is>
          <t>PAEA-CCISM-0951</t>
        </is>
      </c>
      <c r="B952" s="13" t="inlineStr">
        <is>
          <t>A22951</t>
        </is>
      </c>
      <c r="C952" s="14" t="inlineStr">
        <is>
          <t>FROGIER TERIIFA SERGE</t>
        </is>
      </c>
      <c r="D952" s="14" t="inlineStr">
        <is>
          <t>98711 PAEA</t>
        </is>
      </c>
      <c r="E952" s="14" t="inlineStr">
        <is>
          <t>Patenté (Personne Physique)</t>
        </is>
      </c>
      <c r="F952" s="14" t="inlineStr">
        <is>
          <t>Patenté</t>
        </is>
      </c>
      <c r="G952" s="13" t="inlineStr">
        <is>
          <t>9321Z</t>
        </is>
      </c>
      <c r="H952" s="13" t="inlineStr">
        <is>
          <t>S</t>
        </is>
      </c>
      <c r="I952" s="14" t="inlineStr">
        <is>
          <t>Services</t>
        </is>
      </c>
      <c r="J952" s="15" t="n">
        <v>3</v>
      </c>
      <c r="K952" s="15" t="n">
        <v>1</v>
      </c>
      <c r="L952" s="14" t="inlineStr">
        <is>
          <t>22 121 A</t>
        </is>
      </c>
      <c r="M952" s="14" t="inlineStr">
        <is>
          <t>M FROGIER TERIIFA SERGE</t>
        </is>
      </c>
      <c r="N952" s="14" t="inlineStr">
        <is>
          <t>Chef d entreprise</t>
        </is>
      </c>
      <c r="O952" s="15" t="inlineStr">
        <is>
          <t>21884</t>
        </is>
      </c>
    </row>
    <row r="953" ht="20" customHeight="1">
      <c r="A953" s="16" t="inlineStr">
        <is>
          <t>PAEA-CCISM-0952</t>
        </is>
      </c>
      <c r="B953" s="16" t="inlineStr">
        <is>
          <t>A75090</t>
        </is>
      </c>
      <c r="C953" s="17" t="inlineStr">
        <is>
          <t>FULLER KATIA AHUMATATUA</t>
        </is>
      </c>
      <c r="D953" s="17" t="inlineStr">
        <is>
          <t>LOTISSEMENT SOC. VAITERUPE - LOGT 22 98711 PAEA</t>
        </is>
      </c>
      <c r="E953" s="17" t="inlineStr">
        <is>
          <t>Patenté (Personne Physique)</t>
        </is>
      </c>
      <c r="F953" s="17" t="inlineStr">
        <is>
          <t>Patenté</t>
        </is>
      </c>
      <c r="G953" s="16" t="inlineStr">
        <is>
          <t>8810A</t>
        </is>
      </c>
      <c r="H953" s="16" t="inlineStr">
        <is>
          <t>S</t>
        </is>
      </c>
      <c r="I953" s="17" t="inlineStr">
        <is>
          <t>Services</t>
        </is>
      </c>
      <c r="J953" s="18" t="n">
        <v>0</v>
      </c>
      <c r="K953" s="18" t="n">
        <v>1</v>
      </c>
      <c r="L953" s="17" t="inlineStr">
        <is>
          <t>20 473 A</t>
        </is>
      </c>
      <c r="M953" s="17" t="inlineStr">
        <is>
          <t>Mme FULLER KATIA AHUMATATUA</t>
        </is>
      </c>
      <c r="N953" s="17" t="inlineStr">
        <is>
          <t>Chef d entreprise</t>
        </is>
      </c>
      <c r="O953" s="18" t="inlineStr">
        <is>
          <t>21893</t>
        </is>
      </c>
    </row>
    <row r="954" ht="20" customHeight="1">
      <c r="A954" s="13" t="inlineStr">
        <is>
          <t>PAEA-CCISM-0953</t>
        </is>
      </c>
      <c r="B954" s="13" t="inlineStr">
        <is>
          <t>E99141</t>
        </is>
      </c>
      <c r="C954" s="14" t="inlineStr">
        <is>
          <t>FUNERAIRE MARAETEFAU</t>
        </is>
      </c>
      <c r="D954" s="14" t="inlineStr">
        <is>
          <t>98711 PAEA</t>
        </is>
      </c>
      <c r="E954" s="14" t="inlineStr">
        <is>
          <t>SARL</t>
        </is>
      </c>
      <c r="F954" s="14" t="inlineStr">
        <is>
          <t>Société</t>
        </is>
      </c>
      <c r="G954" s="13" t="inlineStr">
        <is>
          <t>9603Z</t>
        </is>
      </c>
      <c r="H954" s="13" t="inlineStr">
        <is>
          <t>S</t>
        </is>
      </c>
      <c r="I954" s="14" t="inlineStr">
        <is>
          <t>Services</t>
        </is>
      </c>
      <c r="J954" s="15" t="n">
        <v>2</v>
      </c>
      <c r="K954" s="15" t="n">
        <v>1</v>
      </c>
      <c r="L954" s="14" t="inlineStr">
        <is>
          <t>22 370 B</t>
        </is>
      </c>
      <c r="M954" s="14" t="inlineStr">
        <is>
          <t>M MARAETEFAU RAITAE AROUL JEREMIE</t>
        </is>
      </c>
      <c r="N954" s="14" t="inlineStr">
        <is>
          <t>Gérant</t>
        </is>
      </c>
      <c r="O954" s="15" t="inlineStr">
        <is>
          <t>21898</t>
        </is>
      </c>
    </row>
    <row r="955" ht="20" customHeight="1">
      <c r="A955" s="16" t="inlineStr">
        <is>
          <t>PAEA-CCISM-0954</t>
        </is>
      </c>
      <c r="B955" s="16" t="inlineStr">
        <is>
          <t>B91467</t>
        </is>
      </c>
      <c r="C955" s="17" t="inlineStr">
        <is>
          <t>GA.MA VISION &amp; ADVOCACY</t>
        </is>
      </c>
      <c r="D955" s="17" t="inlineStr">
        <is>
          <t>QUARTIER SALMON 98711 PAEA</t>
        </is>
      </c>
      <c r="E955" s="17" t="inlineStr">
        <is>
          <t>SARL</t>
        </is>
      </c>
      <c r="F955" s="17" t="inlineStr">
        <is>
          <t>Société</t>
        </is>
      </c>
      <c r="G955" s="16" t="inlineStr">
        <is>
          <t>9609Z</t>
        </is>
      </c>
      <c r="H955" s="16" t="inlineStr">
        <is>
          <t>S</t>
        </is>
      </c>
      <c r="I955" s="17" t="inlineStr">
        <is>
          <t>Services</t>
        </is>
      </c>
      <c r="J955" s="18" t="n">
        <v>0</v>
      </c>
      <c r="K955" s="18" t="n">
        <v>1</v>
      </c>
      <c r="L955" s="17" t="inlineStr">
        <is>
          <t>16 113 B</t>
        </is>
      </c>
      <c r="M955" s="17" t="inlineStr">
        <is>
          <t>M TETIARAHI GABRIEL</t>
        </is>
      </c>
      <c r="N955" s="17" t="inlineStr">
        <is>
          <t>Gérant</t>
        </is>
      </c>
      <c r="O955" s="18" t="inlineStr">
        <is>
          <t>21905</t>
        </is>
      </c>
    </row>
    <row r="956" ht="20" customHeight="1">
      <c r="A956" s="13" t="inlineStr">
        <is>
          <t>PAEA-CCISM-0955</t>
        </is>
      </c>
      <c r="B956" s="13" t="inlineStr">
        <is>
          <t>D13947</t>
        </is>
      </c>
      <c r="C956" s="14" t="inlineStr">
        <is>
          <t>GANTELME MICAËL</t>
        </is>
      </c>
      <c r="D956" s="14" t="inlineStr">
        <is>
          <t>RTE DE LA VALLEE PAPEHUE 98711 PAEA</t>
        </is>
      </c>
      <c r="E956" s="14" t="inlineStr">
        <is>
          <t>Patenté (Personne Physique)</t>
        </is>
      </c>
      <c r="F956" s="14" t="inlineStr">
        <is>
          <t>Patenté</t>
        </is>
      </c>
      <c r="G956" s="13" t="inlineStr">
        <is>
          <t>9609Z</t>
        </is>
      </c>
      <c r="H956" s="13" t="inlineStr">
        <is>
          <t>S</t>
        </is>
      </c>
      <c r="I956" s="14" t="inlineStr">
        <is>
          <t>Services</t>
        </is>
      </c>
      <c r="J956" s="15" t="n">
        <v>0</v>
      </c>
      <c r="K956" s="15" t="n">
        <v>1</v>
      </c>
      <c r="L956" s="14" t="inlineStr">
        <is>
          <t>19 447 A</t>
        </is>
      </c>
      <c r="M956" s="14" t="inlineStr">
        <is>
          <t>M GANTELME MICAËL</t>
        </is>
      </c>
      <c r="N956" s="14" t="inlineStr">
        <is>
          <t>Chef d entreprise</t>
        </is>
      </c>
      <c r="O956" s="15" t="inlineStr">
        <is>
          <t>21956</t>
        </is>
      </c>
    </row>
    <row r="957" ht="20" customHeight="1">
      <c r="A957" s="16" t="inlineStr">
        <is>
          <t>PAEA-CCISM-0956</t>
        </is>
      </c>
      <c r="B957" s="16" t="inlineStr">
        <is>
          <t>951905</t>
        </is>
      </c>
      <c r="C957" s="17" t="inlineStr">
        <is>
          <t>GARBUTT YASMINA</t>
        </is>
      </c>
      <c r="D957" s="17" t="inlineStr">
        <is>
          <t>PARCELLE CADASTRÉE AE-1 98711 PAEA</t>
        </is>
      </c>
      <c r="E957" s="17" t="inlineStr">
        <is>
          <t>Patenté (Personne Physique)</t>
        </is>
      </c>
      <c r="F957" s="17" t="inlineStr">
        <is>
          <t>Patenté</t>
        </is>
      </c>
      <c r="G957" s="16" t="inlineStr">
        <is>
          <t>8730A</t>
        </is>
      </c>
      <c r="H957" s="16" t="inlineStr">
        <is>
          <t>S</t>
        </is>
      </c>
      <c r="I957" s="17" t="inlineStr">
        <is>
          <t>Services</t>
        </is>
      </c>
      <c r="J957" s="18" t="n">
        <v>0</v>
      </c>
      <c r="K957" s="18" t="n">
        <v>1</v>
      </c>
      <c r="L957" s="17" t="inlineStr">
        <is>
          <t>24 1932 A</t>
        </is>
      </c>
      <c r="M957" s="17" t="inlineStr">
        <is>
          <t>Mme GARBUTT YASMINA</t>
        </is>
      </c>
      <c r="N957" s="17" t="inlineStr">
        <is>
          <t>Chef d entreprise</t>
        </is>
      </c>
      <c r="O957" s="18" t="inlineStr">
        <is>
          <t>21972</t>
        </is>
      </c>
    </row>
    <row r="958" ht="20" customHeight="1">
      <c r="A958" s="13" t="inlineStr">
        <is>
          <t>PAEA-CCISM-0957</t>
        </is>
      </c>
      <c r="B958" s="13" t="inlineStr">
        <is>
          <t>F00279</t>
        </is>
      </c>
      <c r="C958" s="14" t="inlineStr">
        <is>
          <t>GARCIA MANARII</t>
        </is>
      </c>
      <c r="D958" s="14" t="inlineStr">
        <is>
          <t>QTR BREMOND 98711 PAEA</t>
        </is>
      </c>
      <c r="E958" s="14" t="inlineStr">
        <is>
          <t>Patenté (Personne Physique)</t>
        </is>
      </c>
      <c r="F958" s="14" t="inlineStr">
        <is>
          <t>Patenté</t>
        </is>
      </c>
      <c r="G958" s="13" t="inlineStr">
        <is>
          <t>5320Z</t>
        </is>
      </c>
      <c r="H958" s="13" t="inlineStr">
        <is>
          <t>S</t>
        </is>
      </c>
      <c r="I958" s="14" t="inlineStr">
        <is>
          <t>Services</t>
        </is>
      </c>
      <c r="J958" s="15" t="n">
        <v>0</v>
      </c>
      <c r="K958" s="15" t="n">
        <v>1</v>
      </c>
      <c r="L958" s="14" t="inlineStr">
        <is>
          <t>22 2738 A</t>
        </is>
      </c>
      <c r="M958" s="14" t="inlineStr">
        <is>
          <t>M GARCIA MANARII</t>
        </is>
      </c>
      <c r="N958" s="14" t="inlineStr">
        <is>
          <t>Chef d entreprise</t>
        </is>
      </c>
      <c r="O958" s="15" t="inlineStr">
        <is>
          <t>21976</t>
        </is>
      </c>
    </row>
    <row r="959" ht="20" customHeight="1">
      <c r="A959" s="16" t="inlineStr">
        <is>
          <t>PAEA-CCISM-0958</t>
        </is>
      </c>
      <c r="B959" s="16" t="inlineStr">
        <is>
          <t>680645</t>
        </is>
      </c>
      <c r="C959" s="17" t="inlineStr">
        <is>
          <t>GATATA NEE ATURIA SYLVIE MIRIAMA</t>
        </is>
      </c>
      <c r="D959" s="17" t="inlineStr">
        <is>
          <t>98711 PAEA</t>
        </is>
      </c>
      <c r="E959" s="17" t="inlineStr">
        <is>
          <t>Patenté (Personne Physique)</t>
        </is>
      </c>
      <c r="F959" s="17" t="inlineStr">
        <is>
          <t>Patenté</t>
        </is>
      </c>
      <c r="G959" s="16" t="inlineStr">
        <is>
          <t>9609Z</t>
        </is>
      </c>
      <c r="H959" s="16" t="inlineStr">
        <is>
          <t>S</t>
        </is>
      </c>
      <c r="I959" s="17" t="inlineStr">
        <is>
          <t>Services</t>
        </is>
      </c>
      <c r="J959" s="18" t="n">
        <v>0</v>
      </c>
      <c r="K959" s="18" t="n">
        <v>1</v>
      </c>
      <c r="L959" s="17" t="inlineStr">
        <is>
          <t>24 1918 A</t>
        </is>
      </c>
      <c r="M959" s="17" t="inlineStr">
        <is>
          <t>Mme GATATA (Née ATURIA) SYLVIE MIRIAMA</t>
        </is>
      </c>
      <c r="N959" s="17" t="inlineStr">
        <is>
          <t>Chef d entreprise</t>
        </is>
      </c>
      <c r="O959" s="18" t="inlineStr">
        <is>
          <t>22004</t>
        </is>
      </c>
    </row>
    <row r="960" ht="20" customHeight="1">
      <c r="A960" s="13" t="inlineStr">
        <is>
          <t>PAEA-CCISM-0959</t>
        </is>
      </c>
      <c r="B960" s="13" t="inlineStr">
        <is>
          <t>E94092</t>
        </is>
      </c>
      <c r="C960" s="14" t="inlineStr">
        <is>
          <t>GERMAIN IHIVAI GUY</t>
        </is>
      </c>
      <c r="D960" s="14" t="inlineStr">
        <is>
          <t>SERVITUDE WILLIAM HOIORE N° 9 98711 PAEA</t>
        </is>
      </c>
      <c r="E960" s="14" t="inlineStr">
        <is>
          <t>Patenté (Personne Physique)</t>
        </is>
      </c>
      <c r="F960" s="14" t="inlineStr">
        <is>
          <t>Patenté</t>
        </is>
      </c>
      <c r="G960" s="13" t="inlineStr">
        <is>
          <t>9609Z</t>
        </is>
      </c>
      <c r="H960" s="13" t="inlineStr">
        <is>
          <t>S</t>
        </is>
      </c>
      <c r="I960" s="14" t="inlineStr">
        <is>
          <t>Services</t>
        </is>
      </c>
      <c r="J960" s="15" t="n">
        <v>0</v>
      </c>
      <c r="K960" s="15" t="n">
        <v>1</v>
      </c>
      <c r="L960" s="14" t="inlineStr">
        <is>
          <t>22 2347 A</t>
        </is>
      </c>
      <c r="M960" s="14" t="inlineStr">
        <is>
          <t>M GERMAIN IHIVAI GUY</t>
        </is>
      </c>
      <c r="N960" s="14" t="inlineStr">
        <is>
          <t>Chef d entreprise</t>
        </is>
      </c>
      <c r="O960" s="15" t="inlineStr">
        <is>
          <t>22092</t>
        </is>
      </c>
    </row>
    <row r="961" ht="20" customHeight="1">
      <c r="A961" s="16" t="inlineStr">
        <is>
          <t>PAEA-CCISM-0960</t>
        </is>
      </c>
      <c r="B961" s="16" t="inlineStr">
        <is>
          <t>F44913</t>
        </is>
      </c>
      <c r="C961" s="17" t="inlineStr">
        <is>
          <t>GERMAIN TAMATOA</t>
        </is>
      </c>
      <c r="D961" s="17" t="inlineStr">
        <is>
          <t>SERVITUDE VAITUPA 98711 PAEA</t>
        </is>
      </c>
      <c r="E961" s="17" t="inlineStr">
        <is>
          <t>Patenté (Personne Physique)</t>
        </is>
      </c>
      <c r="F961" s="17" t="inlineStr">
        <is>
          <t>Patenté</t>
        </is>
      </c>
      <c r="G961" s="16" t="inlineStr">
        <is>
          <t>5520Z</t>
        </is>
      </c>
      <c r="H961" s="16" t="inlineStr">
        <is>
          <t>S</t>
        </is>
      </c>
      <c r="I961" s="17" t="inlineStr">
        <is>
          <t>Services</t>
        </is>
      </c>
      <c r="J961" s="18" t="n">
        <v>0</v>
      </c>
      <c r="K961" s="18" t="n">
        <v>1</v>
      </c>
      <c r="L961" s="17" t="inlineStr">
        <is>
          <t>23 2765 A</t>
        </is>
      </c>
      <c r="M961" s="17" t="inlineStr">
        <is>
          <t>M GERMAIN TAMATOA</t>
        </is>
      </c>
      <c r="N961" s="17" t="inlineStr">
        <is>
          <t>Chef d entreprise</t>
        </is>
      </c>
      <c r="O961" s="18" t="inlineStr">
        <is>
          <t>22097</t>
        </is>
      </c>
    </row>
    <row r="962" ht="20" customHeight="1">
      <c r="A962" s="13" t="inlineStr">
        <is>
          <t>PAEA-CCISM-0961</t>
        </is>
      </c>
      <c r="B962" s="13" t="inlineStr">
        <is>
          <t>D79955</t>
        </is>
      </c>
      <c r="C962" s="14" t="inlineStr">
        <is>
          <t>GEROS TEVA</t>
        </is>
      </c>
      <c r="D962" s="14" t="inlineStr">
        <is>
          <t>RTE DU LOTISSEMENT SEIGNEUR PK 19.5 C/MONT 98711 PAEA</t>
        </is>
      </c>
      <c r="E962" s="14" t="inlineStr">
        <is>
          <t>Patenté (Personne Physique)</t>
        </is>
      </c>
      <c r="F962" s="14" t="inlineStr">
        <is>
          <t>Patenté</t>
        </is>
      </c>
      <c r="G962" s="13" t="inlineStr">
        <is>
          <t>7021Z</t>
        </is>
      </c>
      <c r="H962" s="13" t="inlineStr">
        <is>
          <t>S</t>
        </is>
      </c>
      <c r="I962" s="14" t="inlineStr">
        <is>
          <t>Services</t>
        </is>
      </c>
      <c r="J962" s="15" t="n">
        <v>0</v>
      </c>
      <c r="K962" s="15" t="n">
        <v>1</v>
      </c>
      <c r="L962" s="14" t="inlineStr">
        <is>
          <t>20 1385 A</t>
        </is>
      </c>
      <c r="M962" s="14" t="inlineStr">
        <is>
          <t>M GEROS TEVA</t>
        </is>
      </c>
      <c r="N962" s="14" t="inlineStr">
        <is>
          <t>Chef d entreprise</t>
        </is>
      </c>
      <c r="O962" s="15" t="inlineStr">
        <is>
          <t>22102</t>
        </is>
      </c>
    </row>
    <row r="963" ht="20" customHeight="1">
      <c r="A963" s="16" t="inlineStr">
        <is>
          <t>PAEA-CCISM-0962</t>
        </is>
      </c>
      <c r="B963" s="16" t="inlineStr">
        <is>
          <t>F66064</t>
        </is>
      </c>
      <c r="C963" s="17" t="inlineStr">
        <is>
          <t>GIRARD BENJAMIN</t>
        </is>
      </c>
      <c r="D963" s="17" t="inlineStr">
        <is>
          <t>LOGEMENT N° 13 98711 PAEA</t>
        </is>
      </c>
      <c r="E963" s="17" t="inlineStr">
        <is>
          <t>Patenté (Personne Physique)</t>
        </is>
      </c>
      <c r="F963" s="17" t="inlineStr">
        <is>
          <t>Patenté</t>
        </is>
      </c>
      <c r="G963" s="16" t="inlineStr">
        <is>
          <t>7021Z</t>
        </is>
      </c>
      <c r="H963" s="16" t="inlineStr">
        <is>
          <t>S</t>
        </is>
      </c>
      <c r="I963" s="17" t="inlineStr">
        <is>
          <t>Services</t>
        </is>
      </c>
      <c r="J963" s="18" t="n">
        <v>0</v>
      </c>
      <c r="K963" s="18" t="n">
        <v>1</v>
      </c>
      <c r="L963" s="17" t="inlineStr">
        <is>
          <t>24 509 A</t>
        </is>
      </c>
      <c r="M963" s="17" t="inlineStr">
        <is>
          <t>M GIRARD BENJAMIN</t>
        </is>
      </c>
      <c r="N963" s="17" t="inlineStr">
        <is>
          <t>Chef d entreprise</t>
        </is>
      </c>
      <c r="O963" s="18" t="inlineStr">
        <is>
          <t>22148</t>
        </is>
      </c>
    </row>
    <row r="964" ht="20" customHeight="1">
      <c r="A964" s="13" t="inlineStr">
        <is>
          <t>PAEA-CCISM-0963</t>
        </is>
      </c>
      <c r="B964" s="13" t="inlineStr">
        <is>
          <t>D95951</t>
        </is>
      </c>
      <c r="C964" s="14" t="inlineStr">
        <is>
          <t>GLOBAL SERVICES ET LOGISTIQUES</t>
        </is>
      </c>
      <c r="D964" s="14" t="inlineStr">
        <is>
          <t>SERVITUDE LEHARTEL 98711 PAEA</t>
        </is>
      </c>
      <c r="E964" s="14" t="inlineStr">
        <is>
          <t>SARL Unipersonnelle</t>
        </is>
      </c>
      <c r="F964" s="14" t="inlineStr">
        <is>
          <t>Société</t>
        </is>
      </c>
      <c r="G964" s="13" t="inlineStr">
        <is>
          <t>5229B</t>
        </is>
      </c>
      <c r="H964" s="13" t="inlineStr">
        <is>
          <t>S</t>
        </is>
      </c>
      <c r="I964" s="14" t="inlineStr">
        <is>
          <t>Services</t>
        </is>
      </c>
      <c r="J964" s="15" t="n">
        <v>1</v>
      </c>
      <c r="K964" s="15" t="n">
        <v>1</v>
      </c>
      <c r="L964" s="14" t="inlineStr">
        <is>
          <t>20 288 B</t>
        </is>
      </c>
      <c r="M964" s="14" t="inlineStr">
        <is>
          <t>Mme LEBLANC (Née TEURURAI) MEREANI</t>
        </is>
      </c>
      <c r="N964" s="14" t="inlineStr">
        <is>
          <t>Autre</t>
        </is>
      </c>
      <c r="O964" s="15" t="inlineStr">
        <is>
          <t>22171</t>
        </is>
      </c>
    </row>
    <row r="965" ht="20" customHeight="1">
      <c r="A965" s="16" t="inlineStr">
        <is>
          <t>PAEA-CCISM-0964</t>
        </is>
      </c>
      <c r="B965" s="16" t="inlineStr">
        <is>
          <t>D14994</t>
        </is>
      </c>
      <c r="C965" s="17" t="inlineStr">
        <is>
          <t>GLORIAN ALEXANDRE</t>
        </is>
      </c>
      <c r="D965" s="17" t="inlineStr">
        <is>
          <t>RTE SERVITUDE TAPUTUARAI 98711 PAEA</t>
        </is>
      </c>
      <c r="E965" s="17" t="inlineStr">
        <is>
          <t>Patenté (Personne Physique)</t>
        </is>
      </c>
      <c r="F965" s="17" t="inlineStr">
        <is>
          <t>Patenté</t>
        </is>
      </c>
      <c r="G965" s="16" t="inlineStr">
        <is>
          <t>5912Z</t>
        </is>
      </c>
      <c r="H965" s="16" t="inlineStr">
        <is>
          <t>S</t>
        </is>
      </c>
      <c r="I965" s="17" t="inlineStr">
        <is>
          <t>Services</t>
        </is>
      </c>
      <c r="J965" s="18" t="n">
        <v>0</v>
      </c>
      <c r="K965" s="18" t="n">
        <v>1</v>
      </c>
      <c r="L965" s="17" t="inlineStr">
        <is>
          <t>19 381 A</t>
        </is>
      </c>
      <c r="M965" s="17" t="inlineStr">
        <is>
          <t>M GLORIAN ALEXANDRE</t>
        </is>
      </c>
      <c r="N965" s="17" t="inlineStr">
        <is>
          <t>Chef d entreprise</t>
        </is>
      </c>
      <c r="O965" s="18" t="inlineStr">
        <is>
          <t>22173</t>
        </is>
      </c>
    </row>
    <row r="966" ht="20" customHeight="1">
      <c r="A966" s="13" t="inlineStr">
        <is>
          <t>PAEA-CCISM-0965</t>
        </is>
      </c>
      <c r="B966" s="13" t="inlineStr">
        <is>
          <t>B55355</t>
        </is>
      </c>
      <c r="C966" s="14" t="inlineStr">
        <is>
          <t>GODEFROY JACQUES</t>
        </is>
      </c>
      <c r="D966" s="14" t="inlineStr">
        <is>
          <t>RTE DE LA VALLEE OROFERO 98711 PAEA</t>
        </is>
      </c>
      <c r="E966" s="14" t="inlineStr">
        <is>
          <t>Patenté (Personne Physique)</t>
        </is>
      </c>
      <c r="F966" s="14" t="inlineStr">
        <is>
          <t>Patenté</t>
        </is>
      </c>
      <c r="G966" s="13" t="inlineStr">
        <is>
          <t>9609Z</t>
        </is>
      </c>
      <c r="H966" s="13" t="inlineStr">
        <is>
          <t>S</t>
        </is>
      </c>
      <c r="I966" s="14" t="inlineStr">
        <is>
          <t>Services</t>
        </is>
      </c>
      <c r="J966" s="15" t="n">
        <v>0</v>
      </c>
      <c r="K966" s="15" t="n">
        <v>1</v>
      </c>
      <c r="L966" s="14" t="inlineStr">
        <is>
          <t>15 1502 A</t>
        </is>
      </c>
      <c r="M966" s="14" t="inlineStr">
        <is>
          <t>M GODEFROY JACQUES</t>
        </is>
      </c>
      <c r="N966" s="14" t="inlineStr">
        <is>
          <t>Chef d entreprise</t>
        </is>
      </c>
      <c r="O966" s="15" t="inlineStr">
        <is>
          <t>22185</t>
        </is>
      </c>
    </row>
    <row r="967" ht="20" customHeight="1">
      <c r="A967" s="16" t="inlineStr">
        <is>
          <t>PAEA-CCISM-0966</t>
        </is>
      </c>
      <c r="B967" s="16" t="inlineStr">
        <is>
          <t>536391</t>
        </is>
      </c>
      <c r="C967" s="17" t="inlineStr">
        <is>
          <t>GONZALEZ MOYA</t>
        </is>
      </c>
      <c r="D967" s="17" t="inlineStr">
        <is>
          <t>PAEA - MAHUTAUA 98711 PAEA</t>
        </is>
      </c>
      <c r="E967" s="17" t="inlineStr">
        <is>
          <t>Patenté (Personne Physique)</t>
        </is>
      </c>
      <c r="F967" s="17" t="inlineStr">
        <is>
          <t>Patenté</t>
        </is>
      </c>
      <c r="G967" s="16" t="inlineStr">
        <is>
          <t>8690F</t>
        </is>
      </c>
      <c r="H967" s="16" t="inlineStr">
        <is>
          <t>S</t>
        </is>
      </c>
      <c r="I967" s="17" t="inlineStr">
        <is>
          <t>Services</t>
        </is>
      </c>
      <c r="J967" s="18" t="n">
        <v>0</v>
      </c>
      <c r="K967" s="18" t="n">
        <v>1</v>
      </c>
      <c r="L967" s="17" t="inlineStr">
        <is>
          <t>36487 A</t>
        </is>
      </c>
      <c r="M967" s="17" t="inlineStr">
        <is>
          <t>Mme GONZALEZ-MOYA JOSEFA JOSEFA</t>
        </is>
      </c>
      <c r="N967" s="17" t="inlineStr">
        <is>
          <t>Chef d entreprise</t>
        </is>
      </c>
      <c r="O967" s="18" t="inlineStr">
        <is>
          <t>22200</t>
        </is>
      </c>
    </row>
    <row r="968" ht="20" customHeight="1">
      <c r="A968" s="13" t="inlineStr">
        <is>
          <t>PAEA-CCISM-0967</t>
        </is>
      </c>
      <c r="B968" s="13" t="inlineStr">
        <is>
          <t>C80542</t>
        </is>
      </c>
      <c r="C968" s="14" t="inlineStr">
        <is>
          <t>GOODING SANDY TUTEA</t>
        </is>
      </c>
      <c r="D968" s="14" t="inlineStr">
        <is>
          <t>16 RTE LOTISSEMENT BOURNE 98711 PAEA</t>
        </is>
      </c>
      <c r="E968" s="14" t="inlineStr">
        <is>
          <t>Patenté (Personne Physique)</t>
        </is>
      </c>
      <c r="F968" s="14" t="inlineStr">
        <is>
          <t>Patenté</t>
        </is>
      </c>
      <c r="G968" s="13" t="inlineStr">
        <is>
          <t>5520Z</t>
        </is>
      </c>
      <c r="H968" s="13" t="inlineStr">
        <is>
          <t>S</t>
        </is>
      </c>
      <c r="I968" s="14" t="inlineStr">
        <is>
          <t>Services</t>
        </is>
      </c>
      <c r="J968" s="15" t="n">
        <v>0</v>
      </c>
      <c r="K968" s="15" t="n">
        <v>1</v>
      </c>
      <c r="L968" s="14" t="inlineStr">
        <is>
          <t>21 1649 A</t>
        </is>
      </c>
      <c r="M968" s="14" t="inlineStr">
        <is>
          <t>M GOODING SANDY TUTEA</t>
        </is>
      </c>
      <c r="N968" s="14" t="inlineStr">
        <is>
          <t>Chef d entreprise</t>
        </is>
      </c>
      <c r="O968" s="15" t="inlineStr">
        <is>
          <t>22207</t>
        </is>
      </c>
    </row>
    <row r="969" ht="20" customHeight="1">
      <c r="A969" s="16" t="inlineStr">
        <is>
          <t>PAEA-CCISM-0968</t>
        </is>
      </c>
      <c r="B969" s="16" t="inlineStr">
        <is>
          <t>425777</t>
        </is>
      </c>
      <c r="C969" s="17" t="inlineStr">
        <is>
          <t>GRAFFE NEE MOU JULIANA TITAINA</t>
        </is>
      </c>
      <c r="D969" s="17" t="inlineStr">
        <is>
          <t>PAEA PK 21.900 C/MONT - VALLEE OROFERO 98711 PAEA</t>
        </is>
      </c>
      <c r="E969" s="17" t="inlineStr">
        <is>
          <t>Patenté (Personne Physique)</t>
        </is>
      </c>
      <c r="F969" s="17" t="inlineStr">
        <is>
          <t>Patenté</t>
        </is>
      </c>
      <c r="G969" s="16" t="inlineStr">
        <is>
          <t>5520Z</t>
        </is>
      </c>
      <c r="H969" s="16" t="inlineStr">
        <is>
          <t>S</t>
        </is>
      </c>
      <c r="I969" s="17" t="inlineStr">
        <is>
          <t>Services</t>
        </is>
      </c>
      <c r="J969" s="18" t="n">
        <v>0</v>
      </c>
      <c r="K969" s="18" t="n">
        <v>1</v>
      </c>
      <c r="L969" s="17" t="inlineStr">
        <is>
          <t>08 1684 A</t>
        </is>
      </c>
      <c r="M969" s="17" t="inlineStr">
        <is>
          <t>Mme GRAFFE (Née MOU) JULIANA TITAINA</t>
        </is>
      </c>
      <c r="N969" s="17" t="inlineStr">
        <is>
          <t>Chef d entreprise</t>
        </is>
      </c>
      <c r="O969" s="18" t="inlineStr">
        <is>
          <t>22239</t>
        </is>
      </c>
    </row>
    <row r="970" ht="20" customHeight="1">
      <c r="A970" s="13" t="inlineStr">
        <is>
          <t>PAEA-CCISM-0969</t>
        </is>
      </c>
      <c r="B970" s="13" t="inlineStr">
        <is>
          <t>D94707</t>
        </is>
      </c>
      <c r="C970" s="14" t="inlineStr">
        <is>
          <t>GUILLOUX MAIMITI</t>
        </is>
      </c>
      <c r="D970" s="14" t="inlineStr">
        <is>
          <t>AV LA GROTTE BORD DE ROUTE 98711 PAEA</t>
        </is>
      </c>
      <c r="E970" s="14" t="inlineStr">
        <is>
          <t>Patenté (Personne Physique)</t>
        </is>
      </c>
      <c r="F970" s="14" t="inlineStr">
        <is>
          <t>Patenté</t>
        </is>
      </c>
      <c r="G970" s="13" t="inlineStr">
        <is>
          <t>5520Z</t>
        </is>
      </c>
      <c r="H970" s="13" t="inlineStr">
        <is>
          <t>S</t>
        </is>
      </c>
      <c r="I970" s="14" t="inlineStr">
        <is>
          <t>Services</t>
        </is>
      </c>
      <c r="J970" s="15" t="n">
        <v>0</v>
      </c>
      <c r="K970" s="15" t="n">
        <v>1</v>
      </c>
      <c r="L970" s="14" t="inlineStr">
        <is>
          <t>20 2338 A</t>
        </is>
      </c>
      <c r="M970" s="14" t="inlineStr">
        <is>
          <t>Mme GUILLOUX MAIMITI</t>
        </is>
      </c>
      <c r="N970" s="14" t="inlineStr">
        <is>
          <t>Chef d entreprise 22386 SERVICE</t>
        </is>
      </c>
      <c r="O970" s="15" t="inlineStr"/>
    </row>
    <row r="971" ht="20" customHeight="1">
      <c r="A971" s="16" t="inlineStr">
        <is>
          <t>PAEA-CCISM-0970</t>
        </is>
      </c>
      <c r="B971" s="16" t="inlineStr">
        <is>
          <t>E50193</t>
        </is>
      </c>
      <c r="C971" s="17" t="inlineStr">
        <is>
          <t>HABERSTROH MICKAEL</t>
        </is>
      </c>
      <c r="D971" s="17" t="inlineStr">
        <is>
          <t>N°F403 RESIDENCE LES JARDINS DE PAEA 98711 PAEA</t>
        </is>
      </c>
      <c r="E971" s="17" t="inlineStr">
        <is>
          <t>Patenté (Personne Physique)</t>
        </is>
      </c>
      <c r="F971" s="17" t="inlineStr">
        <is>
          <t>Patenté</t>
        </is>
      </c>
      <c r="G971" s="16" t="inlineStr">
        <is>
          <t>9609Z</t>
        </is>
      </c>
      <c r="H971" s="16" t="inlineStr">
        <is>
          <t>S</t>
        </is>
      </c>
      <c r="I971" s="17" t="inlineStr">
        <is>
          <t>Services</t>
        </is>
      </c>
      <c r="J971" s="18" t="n">
        <v>0</v>
      </c>
      <c r="K971" s="18" t="n">
        <v>1</v>
      </c>
      <c r="L971" s="17" t="inlineStr">
        <is>
          <t>21 2879 A</t>
        </is>
      </c>
      <c r="M971" s="17" t="inlineStr">
        <is>
          <t>M HABERSTROH MICKAEL</t>
        </is>
      </c>
      <c r="N971" s="17" t="inlineStr">
        <is>
          <t>Chef d entreprise</t>
        </is>
      </c>
      <c r="O971" s="18" t="inlineStr">
        <is>
          <t>22447</t>
        </is>
      </c>
    </row>
    <row r="972" ht="20" customHeight="1">
      <c r="A972" s="13" t="inlineStr">
        <is>
          <t>PAEA-CCISM-0971</t>
        </is>
      </c>
      <c r="B972" s="13" t="inlineStr">
        <is>
          <t>C79361</t>
        </is>
      </c>
      <c r="C972" s="14" t="inlineStr">
        <is>
          <t>HALLAIS MURIELLE</t>
        </is>
      </c>
      <c r="D972" s="14" t="inlineStr">
        <is>
          <t>RTE SERVITUDE BRILLANT 98711 PAEA</t>
        </is>
      </c>
      <c r="E972" s="14" t="inlineStr">
        <is>
          <t>Patenté (Personne Physique)</t>
        </is>
      </c>
      <c r="F972" s="14" t="inlineStr">
        <is>
          <t>Patenté</t>
        </is>
      </c>
      <c r="G972" s="13" t="inlineStr">
        <is>
          <t>9609Z</t>
        </is>
      </c>
      <c r="H972" s="13" t="inlineStr">
        <is>
          <t>S</t>
        </is>
      </c>
      <c r="I972" s="14" t="inlineStr">
        <is>
          <t>Services</t>
        </is>
      </c>
      <c r="J972" s="15" t="n">
        <v>0</v>
      </c>
      <c r="K972" s="15" t="n">
        <v>1</v>
      </c>
      <c r="L972" s="14" t="inlineStr">
        <is>
          <t>18 1032 A</t>
        </is>
      </c>
      <c r="M972" s="14" t="inlineStr">
        <is>
          <t>Mme HALLAIS MURIELLE</t>
        </is>
      </c>
      <c r="N972" s="14" t="inlineStr">
        <is>
          <t>Chef d entreprise</t>
        </is>
      </c>
      <c r="O972" s="15" t="inlineStr">
        <is>
          <t>22478</t>
        </is>
      </c>
    </row>
    <row r="973" ht="20" customHeight="1">
      <c r="A973" s="16" t="inlineStr">
        <is>
          <t>PAEA-CCISM-0972</t>
        </is>
      </c>
      <c r="B973" s="16" t="inlineStr">
        <is>
          <t>721829</t>
        </is>
      </c>
      <c r="C973" s="17" t="inlineStr">
        <is>
          <t>HANTZEN STEPHANE ERIC</t>
        </is>
      </c>
      <c r="D973" s="17" t="inlineStr">
        <is>
          <t>PAEA PK 27.200 C/MONT - LOTISS.PUHANA 98711 PAEA</t>
        </is>
      </c>
      <c r="E973" s="17" t="inlineStr">
        <is>
          <t>Patenté (Personne Physique)</t>
        </is>
      </c>
      <c r="F973" s="17" t="inlineStr">
        <is>
          <t>Patenté</t>
        </is>
      </c>
      <c r="G973" s="16" t="inlineStr">
        <is>
          <t>9609Z</t>
        </is>
      </c>
      <c r="H973" s="16" t="inlineStr">
        <is>
          <t>S</t>
        </is>
      </c>
      <c r="I973" s="17" t="inlineStr">
        <is>
          <t>Services</t>
        </is>
      </c>
      <c r="J973" s="18" t="n">
        <v>0</v>
      </c>
      <c r="K973" s="18" t="n">
        <v>1</v>
      </c>
      <c r="L973" s="17" t="inlineStr">
        <is>
          <t>09 1235 A</t>
        </is>
      </c>
      <c r="M973" s="17" t="inlineStr">
        <is>
          <t>M HANTZEN STEPHANE ERIC</t>
        </is>
      </c>
      <c r="N973" s="17" t="inlineStr">
        <is>
          <t>Chef d entreprise</t>
        </is>
      </c>
      <c r="O973" s="18" t="inlineStr">
        <is>
          <t>22502</t>
        </is>
      </c>
    </row>
    <row r="974" ht="20" customHeight="1">
      <c r="A974" s="13" t="inlineStr">
        <is>
          <t>PAEA-CCISM-0973</t>
        </is>
      </c>
      <c r="B974" s="13" t="inlineStr">
        <is>
          <t>F92037</t>
        </is>
      </c>
      <c r="C974" s="14" t="inlineStr">
        <is>
          <t>HAPAIRAI HANILEI</t>
        </is>
      </c>
      <c r="D974" s="14" t="inlineStr">
        <is>
          <t>LOTIS. BALDWIN / LOT 9 98711 PAEA</t>
        </is>
      </c>
      <c r="E974" s="14" t="inlineStr">
        <is>
          <t>Patenté (Personne Physique)</t>
        </is>
      </c>
      <c r="F974" s="14" t="inlineStr">
        <is>
          <t>Patenté</t>
        </is>
      </c>
      <c r="G974" s="13" t="inlineStr">
        <is>
          <t>5320Z</t>
        </is>
      </c>
      <c r="H974" s="13" t="inlineStr">
        <is>
          <t>S</t>
        </is>
      </c>
      <c r="I974" s="14" t="inlineStr">
        <is>
          <t>Services</t>
        </is>
      </c>
      <c r="J974" s="15" t="n">
        <v>0</v>
      </c>
      <c r="K974" s="15" t="n">
        <v>1</v>
      </c>
      <c r="L974" s="14" t="inlineStr">
        <is>
          <t>24 1739 A</t>
        </is>
      </c>
      <c r="M974" s="14" t="inlineStr">
        <is>
          <t>Mme HAPAIRAI HANILEI</t>
        </is>
      </c>
      <c r="N974" s="14" t="inlineStr">
        <is>
          <t>Chef d entreprise</t>
        </is>
      </c>
      <c r="O974" s="15" t="inlineStr">
        <is>
          <t>22515</t>
        </is>
      </c>
    </row>
    <row r="975" ht="20" customHeight="1">
      <c r="A975" s="16" t="inlineStr">
        <is>
          <t>PAEA-CCISM-0974</t>
        </is>
      </c>
      <c r="B975" s="16" t="inlineStr">
        <is>
          <t>E34007</t>
        </is>
      </c>
      <c r="C975" s="17" t="inlineStr">
        <is>
          <t>HAUATA LOANA-MIRIOPUHI</t>
        </is>
      </c>
      <c r="D975" s="17" t="inlineStr">
        <is>
          <t>RTE LOTISSEMENT MONTARON PK 18,9 C/MONT PAPEHUE 98711 PAEA</t>
        </is>
      </c>
      <c r="E975" s="17" t="inlineStr">
        <is>
          <t>Patenté (Personne Physique)</t>
        </is>
      </c>
      <c r="F975" s="17" t="inlineStr">
        <is>
          <t>Patenté</t>
        </is>
      </c>
      <c r="G975" s="16" t="inlineStr">
        <is>
          <t>8810A</t>
        </is>
      </c>
      <c r="H975" s="16" t="inlineStr">
        <is>
          <t>S</t>
        </is>
      </c>
      <c r="I975" s="17" t="inlineStr">
        <is>
          <t>Services</t>
        </is>
      </c>
      <c r="J975" s="18" t="n">
        <v>0</v>
      </c>
      <c r="K975" s="18" t="n">
        <v>1</v>
      </c>
      <c r="L975" s="17" t="inlineStr">
        <is>
          <t>21 1825 A</t>
        </is>
      </c>
      <c r="M975" s="17" t="inlineStr">
        <is>
          <t>Mme HAUATA LOANA-MIRIOPUHI</t>
        </is>
      </c>
      <c r="N975" s="17" t="inlineStr">
        <is>
          <t>Chef d entreprise</t>
        </is>
      </c>
      <c r="O975" s="18" t="inlineStr">
        <is>
          <t>22587</t>
        </is>
      </c>
    </row>
    <row r="976" ht="20" customHeight="1">
      <c r="A976" s="13" t="inlineStr">
        <is>
          <t>PAEA-CCISM-0975</t>
        </is>
      </c>
      <c r="B976" s="13" t="inlineStr">
        <is>
          <t>B19468</t>
        </is>
      </c>
      <c r="C976" s="14" t="inlineStr">
        <is>
          <t>HELME WALLINDA</t>
        </is>
      </c>
      <c r="D976" s="14" t="inlineStr">
        <is>
          <t>PK 25.800 C/MER 98711 PAEA</t>
        </is>
      </c>
      <c r="E976" s="14" t="inlineStr">
        <is>
          <t>Patenté (Personne Physique)</t>
        </is>
      </c>
      <c r="F976" s="14" t="inlineStr">
        <is>
          <t>Patenté</t>
        </is>
      </c>
      <c r="G976" s="13" t="inlineStr">
        <is>
          <t>7022Z</t>
        </is>
      </c>
      <c r="H976" s="13" t="inlineStr">
        <is>
          <t>S</t>
        </is>
      </c>
      <c r="I976" s="14" t="inlineStr">
        <is>
          <t>Services</t>
        </is>
      </c>
      <c r="J976" s="15" t="n">
        <v>0</v>
      </c>
      <c r="K976" s="15" t="n">
        <v>1</v>
      </c>
      <c r="L976" s="14" t="inlineStr">
        <is>
          <t>23 42 A</t>
        </is>
      </c>
      <c r="M976" s="14" t="inlineStr">
        <is>
          <t>Mme HELME WALLINDA</t>
        </is>
      </c>
      <c r="N976" s="14" t="inlineStr">
        <is>
          <t>Chef d entreprise</t>
        </is>
      </c>
      <c r="O976" s="15" t="inlineStr">
        <is>
          <t>22663</t>
        </is>
      </c>
    </row>
    <row r="977" ht="20" customHeight="1">
      <c r="A977" s="16" t="inlineStr">
        <is>
          <t>PAEA-CCISM-0976</t>
        </is>
      </c>
      <c r="B977" s="16" t="inlineStr">
        <is>
          <t>779231</t>
        </is>
      </c>
      <c r="C977" s="17" t="inlineStr">
        <is>
          <t>HENRY PIERRE MARIE HONORE MARCEL</t>
        </is>
      </c>
      <c r="D977" s="17" t="inlineStr">
        <is>
          <t>PAEA PK 18.600 - PENSION TE MITI 98711 PAEA</t>
        </is>
      </c>
      <c r="E977" s="17" t="inlineStr">
        <is>
          <t>Patenté (Personne Physique)</t>
        </is>
      </c>
      <c r="F977" s="17" t="inlineStr">
        <is>
          <t>Patenté</t>
        </is>
      </c>
      <c r="G977" s="16" t="inlineStr">
        <is>
          <t>9511Z</t>
        </is>
      </c>
      <c r="H977" s="16" t="inlineStr">
        <is>
          <t>S</t>
        </is>
      </c>
      <c r="I977" s="17" t="inlineStr">
        <is>
          <t>Services</t>
        </is>
      </c>
      <c r="J977" s="18" t="n">
        <v>0</v>
      </c>
      <c r="K977" s="18" t="n">
        <v>1</v>
      </c>
      <c r="L977" s="17" t="inlineStr">
        <is>
          <t>06 783 A</t>
        </is>
      </c>
      <c r="M977" s="17" t="inlineStr">
        <is>
          <t>M HENRY PIERRE MARIE HONORE MARCEL</t>
        </is>
      </c>
      <c r="N977" s="17" t="inlineStr">
        <is>
          <t>Chef d entreprise</t>
        </is>
      </c>
      <c r="O977" s="18" t="inlineStr">
        <is>
          <t>22686</t>
        </is>
      </c>
    </row>
    <row r="978" ht="20" customHeight="1">
      <c r="A978" s="13" t="inlineStr">
        <is>
          <t>PAEA-CCISM-0977</t>
        </is>
      </c>
      <c r="B978" s="13" t="inlineStr">
        <is>
          <t>E76396</t>
        </is>
      </c>
      <c r="C978" s="14" t="inlineStr">
        <is>
          <t>HERBECQ MARINE GLORIA</t>
        </is>
      </c>
      <c r="D978" s="14" t="inlineStr">
        <is>
          <t>RESIDENCE LES JARDINS DE PAEA LOGT 444 - RTE DU COLLEGE DE PAEA 98711 PAEA</t>
        </is>
      </c>
      <c r="E978" s="14" t="inlineStr">
        <is>
          <t>Patenté (Personne Physique)</t>
        </is>
      </c>
      <c r="F978" s="14" t="inlineStr">
        <is>
          <t>Patenté</t>
        </is>
      </c>
      <c r="G978" s="13" t="inlineStr">
        <is>
          <t>9609Z</t>
        </is>
      </c>
      <c r="H978" s="13" t="inlineStr">
        <is>
          <t>S</t>
        </is>
      </c>
      <c r="I978" s="14" t="inlineStr">
        <is>
          <t>Services</t>
        </is>
      </c>
      <c r="J978" s="15" t="n">
        <v>0</v>
      </c>
      <c r="K978" s="15" t="n">
        <v>1</v>
      </c>
      <c r="L978" s="14" t="inlineStr">
        <is>
          <t>22 1215 A</t>
        </is>
      </c>
      <c r="M978" s="14" t="inlineStr">
        <is>
          <t>Mme HERBECQ MARINE GLORIA</t>
        </is>
      </c>
      <c r="N978" s="14" t="inlineStr">
        <is>
          <t>Chef d entreprise</t>
        </is>
      </c>
      <c r="O978" s="15" t="inlineStr">
        <is>
          <t>22693</t>
        </is>
      </c>
    </row>
    <row r="979" ht="20" customHeight="1">
      <c r="A979" s="16" t="inlineStr">
        <is>
          <t>PAEA-CCISM-0978</t>
        </is>
      </c>
      <c r="B979" s="16" t="inlineStr">
        <is>
          <t>985325</t>
        </is>
      </c>
      <c r="C979" s="17" t="inlineStr">
        <is>
          <t>HERBETH AMANDINE</t>
        </is>
      </c>
      <c r="D979" s="17" t="inlineStr">
        <is>
          <t>LOT TAREVAREVA - ALLEE 8 98711 PAEA</t>
        </is>
      </c>
      <c r="E979" s="17" t="inlineStr">
        <is>
          <t>Patenté (Personne Physique)</t>
        </is>
      </c>
      <c r="F979" s="17" t="inlineStr">
        <is>
          <t>Patenté</t>
        </is>
      </c>
      <c r="G979" s="16" t="inlineStr">
        <is>
          <t>8559A</t>
        </is>
      </c>
      <c r="H979" s="16" t="inlineStr">
        <is>
          <t>S</t>
        </is>
      </c>
      <c r="I979" s="17" t="inlineStr">
        <is>
          <t>Services</t>
        </is>
      </c>
      <c r="J979" s="18" t="n">
        <v>0</v>
      </c>
      <c r="K979" s="18" t="n">
        <v>1</v>
      </c>
      <c r="L979" s="17" t="inlineStr">
        <is>
          <t>18 2143 A</t>
        </is>
      </c>
      <c r="M979" s="17" t="inlineStr">
        <is>
          <t>Mme HERBETH AMANDINE</t>
        </is>
      </c>
      <c r="N979" s="17" t="inlineStr">
        <is>
          <t>Chef d entreprise</t>
        </is>
      </c>
      <c r="O979" s="18" t="inlineStr">
        <is>
          <t>22694</t>
        </is>
      </c>
    </row>
    <row r="980" ht="20" customHeight="1">
      <c r="A980" s="13" t="inlineStr">
        <is>
          <t>PAEA-CCISM-0979</t>
        </is>
      </c>
      <c r="B980" s="13" t="inlineStr">
        <is>
          <t>F22695</t>
        </is>
      </c>
      <c r="C980" s="14" t="inlineStr">
        <is>
          <t>HERVEGUEN NEE TISSAN HINARII</t>
        </is>
      </c>
      <c r="D980" s="14" t="inlineStr">
        <is>
          <t>LOTISSEMENT HEITIARE LOT A3 98711 PAEA</t>
        </is>
      </c>
      <c r="E980" s="14" t="inlineStr">
        <is>
          <t>Patenté (Personne Physique)</t>
        </is>
      </c>
      <c r="F980" s="14" t="inlineStr">
        <is>
          <t>Patenté</t>
        </is>
      </c>
      <c r="G980" s="13" t="inlineStr">
        <is>
          <t>7711A</t>
        </is>
      </c>
      <c r="H980" s="13" t="inlineStr">
        <is>
          <t>S</t>
        </is>
      </c>
      <c r="I980" s="14" t="inlineStr">
        <is>
          <t>Services</t>
        </is>
      </c>
      <c r="J980" s="15" t="n">
        <v>0</v>
      </c>
      <c r="K980" s="15" t="n">
        <v>1</v>
      </c>
      <c r="L980" s="14" t="inlineStr">
        <is>
          <t>23 1044 A</t>
        </is>
      </c>
      <c r="M980" s="14" t="inlineStr">
        <is>
          <t>Mme HERVEGUEN (Née TISSAN) HINARII</t>
        </is>
      </c>
      <c r="N980" s="14" t="inlineStr">
        <is>
          <t>Chef d entreprise</t>
        </is>
      </c>
      <c r="O980" s="15" t="inlineStr">
        <is>
          <t>22714</t>
        </is>
      </c>
    </row>
    <row r="981" ht="20" customHeight="1">
      <c r="A981" s="16" t="inlineStr">
        <is>
          <t>PAEA-CCISM-0980</t>
        </is>
      </c>
      <c r="B981" s="16" t="inlineStr">
        <is>
          <t>E48429</t>
        </is>
      </c>
      <c r="C981" s="17" t="inlineStr">
        <is>
          <t>HÉRY BERTRAND</t>
        </is>
      </c>
      <c r="D981" s="17" t="inlineStr">
        <is>
          <t>(N°7) - (SERV. TIAITI 2) 98711 PAEA</t>
        </is>
      </c>
      <c r="E981" s="17" t="inlineStr">
        <is>
          <t>Patenté (Personne Physique)</t>
        </is>
      </c>
      <c r="F981" s="17" t="inlineStr">
        <is>
          <t>Patenté</t>
        </is>
      </c>
      <c r="G981" s="16" t="inlineStr">
        <is>
          <t>8551Z</t>
        </is>
      </c>
      <c r="H981" s="16" t="inlineStr">
        <is>
          <t>S</t>
        </is>
      </c>
      <c r="I981" s="17" t="inlineStr">
        <is>
          <t>Services</t>
        </is>
      </c>
      <c r="J981" s="18" t="n">
        <v>0</v>
      </c>
      <c r="K981" s="18" t="n">
        <v>1</v>
      </c>
      <c r="L981" s="17" t="inlineStr">
        <is>
          <t>23 1031 A</t>
        </is>
      </c>
      <c r="M981" s="17" t="inlineStr">
        <is>
          <t>M HÉRY BERTRAND</t>
        </is>
      </c>
      <c r="N981" s="17" t="inlineStr">
        <is>
          <t>Chef d entreprise</t>
        </is>
      </c>
      <c r="O981" s="18" t="inlineStr">
        <is>
          <t>22718</t>
        </is>
      </c>
    </row>
    <row r="982" ht="20" customHeight="1">
      <c r="A982" s="13" t="inlineStr">
        <is>
          <t>PAEA-CCISM-0981</t>
        </is>
      </c>
      <c r="B982" s="13" t="inlineStr">
        <is>
          <t>G09625</t>
        </is>
      </c>
      <c r="C982" s="14" t="inlineStr">
        <is>
          <t>HIRIHIRI VAIRANI</t>
        </is>
      </c>
      <c r="D982" s="14" t="inlineStr">
        <is>
          <t>TERRE TIAITIFARERUA ET ATUAVITI 98711 PAEA</t>
        </is>
      </c>
      <c r="E982" s="14" t="inlineStr">
        <is>
          <t>Patenté (Personne Physique)</t>
        </is>
      </c>
      <c r="F982" s="14" t="inlineStr">
        <is>
          <t>Patenté</t>
        </is>
      </c>
      <c r="G982" s="13" t="inlineStr">
        <is>
          <t>7739Z</t>
        </is>
      </c>
      <c r="H982" s="13" t="inlineStr">
        <is>
          <t>S</t>
        </is>
      </c>
      <c r="I982" s="14" t="inlineStr">
        <is>
          <t>Services</t>
        </is>
      </c>
      <c r="J982" s="15" t="n">
        <v>0</v>
      </c>
      <c r="K982" s="15" t="n">
        <v>1</v>
      </c>
      <c r="L982" s="14" t="inlineStr">
        <is>
          <t>25 266 A</t>
        </is>
      </c>
      <c r="M982" s="14" t="inlineStr">
        <is>
          <t>Mme HIRIHIRI VAIRANI</t>
        </is>
      </c>
      <c r="N982" s="14" t="inlineStr">
        <is>
          <t>Chef d entreprise</t>
        </is>
      </c>
      <c r="O982" s="15" t="inlineStr">
        <is>
          <t>22768</t>
        </is>
      </c>
    </row>
    <row r="983" ht="20" customHeight="1">
      <c r="A983" s="16" t="inlineStr">
        <is>
          <t>PAEA-CCISM-0982</t>
        </is>
      </c>
      <c r="B983" s="16" t="inlineStr">
        <is>
          <t>500348</t>
        </is>
      </c>
      <c r="C983" s="17" t="inlineStr">
        <is>
          <t>HOLGUIN TEVA NUI CALITO</t>
        </is>
      </c>
      <c r="D983" s="17" t="inlineStr">
        <is>
          <t>PAEA PK 22 C/MER-GOURNAC 98711 PAEA</t>
        </is>
      </c>
      <c r="E983" s="17" t="inlineStr">
        <is>
          <t>Patenté (Personne Physique)</t>
        </is>
      </c>
      <c r="F983" s="17" t="inlineStr">
        <is>
          <t>Patenté</t>
        </is>
      </c>
      <c r="G983" s="16" t="inlineStr">
        <is>
          <t>8130Z</t>
        </is>
      </c>
      <c r="H983" s="16" t="inlineStr">
        <is>
          <t>S</t>
        </is>
      </c>
      <c r="I983" s="17" t="inlineStr">
        <is>
          <t>Services</t>
        </is>
      </c>
      <c r="J983" s="18" t="n">
        <v>6</v>
      </c>
      <c r="K983" s="18" t="n">
        <v>2</v>
      </c>
      <c r="L983" s="17" t="inlineStr"/>
      <c r="M983" s="17" t="inlineStr">
        <is>
          <t>34569 A</t>
        </is>
      </c>
      <c r="N983" s="17" t="inlineStr"/>
      <c r="O983" s="18" t="inlineStr"/>
    </row>
    <row r="984" ht="20" customHeight="1">
      <c r="A984" s="13" t="inlineStr">
        <is>
          <t>PAEA-CCISM-0983</t>
        </is>
      </c>
      <c r="B984" s="13" t="inlineStr">
        <is>
          <t>609495</t>
        </is>
      </c>
      <c r="C984" s="14" t="inlineStr">
        <is>
          <t>HOOTEN ROGER MARCEL</t>
        </is>
      </c>
      <c r="D984" s="14" t="inlineStr">
        <is>
          <t>PAEA PK 23.900 C/MONT 98711 PAEA</t>
        </is>
      </c>
      <c r="E984" s="14" t="inlineStr">
        <is>
          <t>Patenté (Personne Physique)</t>
        </is>
      </c>
      <c r="F984" s="14" t="inlineStr">
        <is>
          <t>Patenté</t>
        </is>
      </c>
      <c r="G984" s="13" t="inlineStr">
        <is>
          <t>9511Z</t>
        </is>
      </c>
      <c r="H984" s="13" t="inlineStr">
        <is>
          <t>S</t>
        </is>
      </c>
      <c r="I984" s="14" t="inlineStr">
        <is>
          <t>Services</t>
        </is>
      </c>
      <c r="J984" s="15" t="n">
        <v>0</v>
      </c>
      <c r="K984" s="15" t="n">
        <v>1</v>
      </c>
      <c r="L984" s="14" t="inlineStr">
        <is>
          <t>39910 A</t>
        </is>
      </c>
      <c r="M984" s="14" t="inlineStr">
        <is>
          <t>M HOOTEN ROGER MARCEL</t>
        </is>
      </c>
      <c r="N984" s="14" t="inlineStr">
        <is>
          <t>Chef d entreprise</t>
        </is>
      </c>
      <c r="O984" s="15" t="inlineStr">
        <is>
          <t>22850</t>
        </is>
      </c>
    </row>
    <row r="985" ht="20" customHeight="1">
      <c r="A985" s="16" t="inlineStr">
        <is>
          <t>PAEA-CCISM-0984</t>
        </is>
      </c>
      <c r="B985" s="16" t="inlineStr">
        <is>
          <t>129387</t>
        </is>
      </c>
      <c r="C985" s="17" t="inlineStr">
        <is>
          <t>HUCK FREDERIQUE, MAADI</t>
        </is>
      </c>
      <c r="D985" s="17" t="inlineStr">
        <is>
          <t>98711 PAEA</t>
        </is>
      </c>
      <c r="E985" s="17" t="inlineStr">
        <is>
          <t>Patenté (Personne Physique)</t>
        </is>
      </c>
      <c r="F985" s="17" t="inlineStr">
        <is>
          <t>Patenté</t>
        </is>
      </c>
      <c r="G985" s="16" t="inlineStr">
        <is>
          <t>5520Z</t>
        </is>
      </c>
      <c r="H985" s="16" t="inlineStr">
        <is>
          <t>S</t>
        </is>
      </c>
      <c r="I985" s="17" t="inlineStr">
        <is>
          <t>Services</t>
        </is>
      </c>
      <c r="J985" s="18" t="n">
        <v>0</v>
      </c>
      <c r="K985" s="18" t="n">
        <v>1</v>
      </c>
      <c r="L985" s="17" t="inlineStr">
        <is>
          <t>19 484 A</t>
        </is>
      </c>
      <c r="M985" s="17" t="inlineStr">
        <is>
          <t>M HUCK FREDERIQUE, MAADI</t>
        </is>
      </c>
      <c r="N985" s="17" t="inlineStr">
        <is>
          <t>Chef d entreprise</t>
        </is>
      </c>
      <c r="O985" s="18" t="inlineStr">
        <is>
          <t>22925</t>
        </is>
      </c>
    </row>
    <row r="986" ht="20" customHeight="1">
      <c r="A986" s="13" t="inlineStr">
        <is>
          <t>PAEA-CCISM-0985</t>
        </is>
      </c>
      <c r="B986" s="13" t="inlineStr">
        <is>
          <t>F00683</t>
        </is>
      </c>
      <c r="C986" s="14" t="inlineStr">
        <is>
          <t>HURUPA HEIDI TEROROTAHIARII</t>
        </is>
      </c>
      <c r="D986" s="14" t="inlineStr">
        <is>
          <t>98711 PAEA</t>
        </is>
      </c>
      <c r="E986" s="14" t="inlineStr">
        <is>
          <t>Patenté (Personne Physique)</t>
        </is>
      </c>
      <c r="F986" s="14" t="inlineStr">
        <is>
          <t>Patenté</t>
        </is>
      </c>
      <c r="G986" s="13" t="inlineStr">
        <is>
          <t>7990Z</t>
        </is>
      </c>
      <c r="H986" s="13" t="inlineStr">
        <is>
          <t>S</t>
        </is>
      </c>
      <c r="I986" s="14" t="inlineStr">
        <is>
          <t>Services</t>
        </is>
      </c>
      <c r="J986" s="15" t="n">
        <v>0</v>
      </c>
      <c r="K986" s="15" t="n">
        <v>1</v>
      </c>
      <c r="L986" s="14" t="inlineStr">
        <is>
          <t>22 2765 A</t>
        </is>
      </c>
      <c r="M986" s="14" t="inlineStr">
        <is>
          <t>Mme HURUPA HEIDI TEROROTAHIARII</t>
        </is>
      </c>
      <c r="N986" s="14" t="inlineStr">
        <is>
          <t>Chef d entreprise</t>
        </is>
      </c>
      <c r="O986" s="15" t="inlineStr">
        <is>
          <t>22980</t>
        </is>
      </c>
    </row>
    <row r="987" ht="20" customHeight="1">
      <c r="A987" s="16" t="inlineStr">
        <is>
          <t>PAEA-CCISM-0986</t>
        </is>
      </c>
      <c r="B987" s="16" t="inlineStr">
        <is>
          <t>F67831</t>
        </is>
      </c>
      <c r="C987" s="17" t="inlineStr">
        <is>
          <t>IBOS SAMUEL</t>
        </is>
      </c>
      <c r="D987" s="17" t="inlineStr">
        <is>
          <t>VALLEE OROFERO 98711 PAEA</t>
        </is>
      </c>
      <c r="E987" s="17" t="inlineStr">
        <is>
          <t>Patenté (Personne Physique)</t>
        </is>
      </c>
      <c r="F987" s="17" t="inlineStr">
        <is>
          <t>Patenté</t>
        </is>
      </c>
      <c r="G987" s="16" t="inlineStr">
        <is>
          <t>9609Z</t>
        </is>
      </c>
      <c r="H987" s="16" t="inlineStr">
        <is>
          <t>S</t>
        </is>
      </c>
      <c r="I987" s="17" t="inlineStr">
        <is>
          <t>Services</t>
        </is>
      </c>
      <c r="J987" s="18" t="n">
        <v>0</v>
      </c>
      <c r="K987" s="18" t="n">
        <v>1</v>
      </c>
      <c r="L987" s="17" t="inlineStr">
        <is>
          <t>24 142 A</t>
        </is>
      </c>
      <c r="M987" s="17" t="inlineStr">
        <is>
          <t>M IBOS SAMUEL</t>
        </is>
      </c>
      <c r="N987" s="17" t="inlineStr">
        <is>
          <t>Chef d entreprise</t>
        </is>
      </c>
      <c r="O987" s="18" t="inlineStr">
        <is>
          <t>23012</t>
        </is>
      </c>
    </row>
    <row r="988" ht="20" customHeight="1">
      <c r="A988" s="13" t="inlineStr">
        <is>
          <t>PAEA-CCISM-0987</t>
        </is>
      </c>
      <c r="B988" s="13" t="inlineStr">
        <is>
          <t>802785</t>
        </is>
      </c>
      <c r="C988" s="14" t="inlineStr">
        <is>
          <t>ICEBERG ASSISTANCE</t>
        </is>
      </c>
      <c r="D988" s="14" t="inlineStr">
        <is>
          <t>SERV.DEXTER 98711 PAEA</t>
        </is>
      </c>
      <c r="E988" s="14" t="inlineStr">
        <is>
          <t>SARL</t>
        </is>
      </c>
      <c r="F988" s="14" t="inlineStr">
        <is>
          <t>Société</t>
        </is>
      </c>
      <c r="G988" s="13" t="inlineStr">
        <is>
          <t>9522Z</t>
        </is>
      </c>
      <c r="H988" s="13" t="inlineStr">
        <is>
          <t>S</t>
        </is>
      </c>
      <c r="I988" s="14" t="inlineStr">
        <is>
          <t>Services</t>
        </is>
      </c>
      <c r="J988" s="15" t="n">
        <v>9</v>
      </c>
      <c r="K988" s="15" t="n">
        <v>2</v>
      </c>
      <c r="L988" s="14" t="inlineStr">
        <is>
          <t>06 363 B</t>
        </is>
      </c>
      <c r="M988" s="14" t="inlineStr">
        <is>
          <t>M BESSON JEAN-LOUIS</t>
        </is>
      </c>
      <c r="N988" s="14" t="inlineStr">
        <is>
          <t>Gérant</t>
        </is>
      </c>
      <c r="O988" s="15" t="inlineStr">
        <is>
          <t>23013</t>
        </is>
      </c>
    </row>
    <row r="989" ht="20" customHeight="1">
      <c r="A989" s="16" t="inlineStr">
        <is>
          <t>PAEA-CCISM-0988</t>
        </is>
      </c>
      <c r="B989" s="16" t="inlineStr">
        <is>
          <t>D62589</t>
        </is>
      </c>
      <c r="C989" s="17" t="inlineStr">
        <is>
          <t>IL HOLDING INVESTMENTS</t>
        </is>
      </c>
      <c r="D989" s="17" t="inlineStr">
        <is>
          <t>98711 PAEA</t>
        </is>
      </c>
      <c r="E989" s="17" t="inlineStr">
        <is>
          <t>SARL</t>
        </is>
      </c>
      <c r="F989" s="17" t="inlineStr">
        <is>
          <t>Société</t>
        </is>
      </c>
      <c r="G989" s="16" t="inlineStr">
        <is>
          <t>6420Z</t>
        </is>
      </c>
      <c r="H989" s="16" t="inlineStr">
        <is>
          <t>S</t>
        </is>
      </c>
      <c r="I989" s="17" t="inlineStr">
        <is>
          <t>Services</t>
        </is>
      </c>
      <c r="J989" s="18" t="n">
        <v>0</v>
      </c>
      <c r="K989" s="18" t="n">
        <v>1</v>
      </c>
      <c r="L989" s="17" t="inlineStr">
        <is>
          <t>20 55 B</t>
        </is>
      </c>
      <c r="M989" s="17" t="inlineStr">
        <is>
          <t>Mme AMARU (Née AMO) THERESE</t>
        </is>
      </c>
      <c r="N989" s="17" t="inlineStr">
        <is>
          <t>Gérant 23039 SERVICE</t>
        </is>
      </c>
      <c r="O989" s="18" t="inlineStr"/>
    </row>
    <row r="990" ht="20" customHeight="1">
      <c r="A990" s="13" t="inlineStr">
        <is>
          <t>PAEA-CCISM-0989</t>
        </is>
      </c>
      <c r="B990" s="13" t="inlineStr">
        <is>
          <t>F16663</t>
        </is>
      </c>
      <c r="C990" s="14" t="inlineStr">
        <is>
          <t>INFINITE POWER</t>
        </is>
      </c>
      <c r="D990" s="14" t="inlineStr">
        <is>
          <t>LOT 12 SERV FROGIER 98711 PAEA</t>
        </is>
      </c>
      <c r="E990" s="14" t="inlineStr">
        <is>
          <t>SARL</t>
        </is>
      </c>
      <c r="F990" s="14" t="inlineStr">
        <is>
          <t>Société</t>
        </is>
      </c>
      <c r="G990" s="13" t="inlineStr">
        <is>
          <t>7739Z</t>
        </is>
      </c>
      <c r="H990" s="13" t="inlineStr">
        <is>
          <t>S</t>
        </is>
      </c>
      <c r="I990" s="14" t="inlineStr">
        <is>
          <t>Services</t>
        </is>
      </c>
      <c r="J990" s="15" t="n">
        <v>0</v>
      </c>
      <c r="K990" s="15" t="n">
        <v>1</v>
      </c>
      <c r="L990" s="14" t="inlineStr">
        <is>
          <t>23 13 B</t>
        </is>
      </c>
      <c r="M990" s="14" t="inlineStr">
        <is>
          <t>M FROGIER JAMES FLOYD ROGER TE</t>
        </is>
      </c>
      <c r="N990" s="14" t="inlineStr">
        <is>
          <t>Autre</t>
        </is>
      </c>
      <c r="O990" s="15" t="inlineStr">
        <is>
          <t>23070</t>
        </is>
      </c>
    </row>
    <row r="991" ht="20" customHeight="1">
      <c r="A991" s="16" t="inlineStr">
        <is>
          <t>PAEA-CCISM-0990</t>
        </is>
      </c>
      <c r="B991" s="16" t="inlineStr">
        <is>
          <t>392878</t>
        </is>
      </c>
      <c r="C991" s="17" t="inlineStr">
        <is>
          <t>IORSS NEE IHNOMADRA ANNE-MARIE</t>
        </is>
      </c>
      <c r="D991" s="17" t="inlineStr">
        <is>
          <t>98711 PAEA</t>
        </is>
      </c>
      <c r="E991" s="17" t="inlineStr">
        <is>
          <t>Patenté (Personne Physique)</t>
        </is>
      </c>
      <c r="F991" s="17" t="inlineStr">
        <is>
          <t>Patenté</t>
        </is>
      </c>
      <c r="G991" s="16" t="inlineStr">
        <is>
          <t>8891A</t>
        </is>
      </c>
      <c r="H991" s="16" t="inlineStr">
        <is>
          <t>S</t>
        </is>
      </c>
      <c r="I991" s="17" t="inlineStr">
        <is>
          <t>Services</t>
        </is>
      </c>
      <c r="J991" s="18" t="n">
        <v>4</v>
      </c>
      <c r="K991" s="18" t="n">
        <v>1</v>
      </c>
      <c r="L991" s="17" t="inlineStr">
        <is>
          <t>21 2768 A</t>
        </is>
      </c>
      <c r="M991" s="17" t="inlineStr">
        <is>
          <t>Mme IORSS (Née IHNOMADRA) ANNE-MARIE</t>
        </is>
      </c>
      <c r="N991" s="17" t="inlineStr">
        <is>
          <t>Chef d entreprise</t>
        </is>
      </c>
      <c r="O991" s="18" t="inlineStr">
        <is>
          <t>23121</t>
        </is>
      </c>
    </row>
    <row r="992" ht="20" customHeight="1">
      <c r="A992" s="13" t="inlineStr">
        <is>
          <t>PAEA-CCISM-0991</t>
        </is>
      </c>
      <c r="B992" s="13" t="inlineStr">
        <is>
          <t>F37404</t>
        </is>
      </c>
      <c r="C992" s="14" t="inlineStr">
        <is>
          <t>IRLANDE CHLOE</t>
        </is>
      </c>
      <c r="D992" s="14" t="inlineStr">
        <is>
          <t>(SERVITUDE TORII) 98711 PAEA</t>
        </is>
      </c>
      <c r="E992" s="14" t="inlineStr">
        <is>
          <t>Patenté (Personne Physique)</t>
        </is>
      </c>
      <c r="F992" s="14" t="inlineStr">
        <is>
          <t>Patenté</t>
        </is>
      </c>
      <c r="G992" s="13" t="inlineStr">
        <is>
          <t>7021Z</t>
        </is>
      </c>
      <c r="H992" s="13" t="inlineStr">
        <is>
          <t>S</t>
        </is>
      </c>
      <c r="I992" s="14" t="inlineStr">
        <is>
          <t>Services</t>
        </is>
      </c>
      <c r="J992" s="15" t="n">
        <v>0</v>
      </c>
      <c r="K992" s="15" t="n">
        <v>1</v>
      </c>
      <c r="L992" s="14" t="inlineStr">
        <is>
          <t>23 1546 A</t>
        </is>
      </c>
      <c r="M992" s="14" t="inlineStr">
        <is>
          <t>Mme IRLANDE CHLOE</t>
        </is>
      </c>
      <c r="N992" s="14" t="inlineStr">
        <is>
          <t>Chef d entreprise</t>
        </is>
      </c>
      <c r="O992" s="15" t="inlineStr">
        <is>
          <t>23135</t>
        </is>
      </c>
    </row>
    <row r="993" ht="20" customHeight="1">
      <c r="A993" s="16" t="inlineStr">
        <is>
          <t>PAEA-CCISM-0992</t>
        </is>
      </c>
      <c r="B993" s="16" t="inlineStr">
        <is>
          <t>F99354</t>
        </is>
      </c>
      <c r="C993" s="17" t="inlineStr">
        <is>
          <t>ITAIA EMELDA</t>
        </is>
      </c>
      <c r="D993" s="17" t="inlineStr">
        <is>
          <t>PROPRIETE ROBSON SECTION AC N°454 98711 PAEA</t>
        </is>
      </c>
      <c r="E993" s="17" t="inlineStr">
        <is>
          <t>Patenté (Personne Physique)</t>
        </is>
      </c>
      <c r="F993" s="17" t="inlineStr">
        <is>
          <t>Patenté</t>
        </is>
      </c>
      <c r="G993" s="16" t="inlineStr">
        <is>
          <t>5520Z</t>
        </is>
      </c>
      <c r="H993" s="16" t="inlineStr">
        <is>
          <t>S</t>
        </is>
      </c>
      <c r="I993" s="17" t="inlineStr">
        <is>
          <t>Services</t>
        </is>
      </c>
      <c r="J993" s="18" t="n">
        <v>0</v>
      </c>
      <c r="K993" s="18" t="n">
        <v>1</v>
      </c>
      <c r="L993" s="17" t="inlineStr">
        <is>
          <t>24 2256 A</t>
        </is>
      </c>
      <c r="M993" s="17" t="inlineStr">
        <is>
          <t>Mme ITAIA EMELDA</t>
        </is>
      </c>
      <c r="N993" s="17" t="inlineStr">
        <is>
          <t>Chef d entreprise</t>
        </is>
      </c>
      <c r="O993" s="18" t="inlineStr">
        <is>
          <t>23162</t>
        </is>
      </c>
    </row>
    <row r="994" ht="20" customHeight="1">
      <c r="A994" s="13" t="inlineStr">
        <is>
          <t>PAEA-CCISM-0993</t>
        </is>
      </c>
      <c r="B994" s="13" t="inlineStr">
        <is>
          <t>698845</t>
        </is>
      </c>
      <c r="C994" s="14" t="inlineStr">
        <is>
          <t>ITCHNER SIMONE</t>
        </is>
      </c>
      <c r="D994" s="14" t="inlineStr">
        <is>
          <t>98711 PAEA</t>
        </is>
      </c>
      <c r="E994" s="14" t="inlineStr">
        <is>
          <t>Patenté (Personne Physique)</t>
        </is>
      </c>
      <c r="F994" s="14" t="inlineStr">
        <is>
          <t>Patenté</t>
        </is>
      </c>
      <c r="G994" s="13" t="inlineStr">
        <is>
          <t>7739Z</t>
        </is>
      </c>
      <c r="H994" s="13" t="inlineStr">
        <is>
          <t>S</t>
        </is>
      </c>
      <c r="I994" s="14" t="inlineStr">
        <is>
          <t>Services</t>
        </is>
      </c>
      <c r="J994" s="15" t="n">
        <v>0</v>
      </c>
      <c r="K994" s="15" t="n">
        <v>1</v>
      </c>
      <c r="L994" s="14" t="inlineStr">
        <is>
          <t>22 1066 A</t>
        </is>
      </c>
      <c r="M994" s="14" t="inlineStr">
        <is>
          <t>Mme ITCHNER SIMONE</t>
        </is>
      </c>
      <c r="N994" s="14" t="inlineStr">
        <is>
          <t>Chef d entreprise</t>
        </is>
      </c>
      <c r="O994" s="15" t="inlineStr">
        <is>
          <t>23173</t>
        </is>
      </c>
    </row>
    <row r="995" ht="20" customHeight="1">
      <c r="A995" s="16" t="inlineStr">
        <is>
          <t>PAEA-CCISM-0994</t>
        </is>
      </c>
      <c r="B995" s="16" t="inlineStr">
        <is>
          <t>648667</t>
        </is>
      </c>
      <c r="C995" s="17" t="inlineStr">
        <is>
          <t>JACCARD LAURENT DANIEL</t>
        </is>
      </c>
      <c r="D995" s="17" t="inlineStr">
        <is>
          <t>PAEA PK 24.600 COTE MER 98711 PAEA</t>
        </is>
      </c>
      <c r="E995" s="17" t="inlineStr">
        <is>
          <t>Patenté (Personne Physique)</t>
        </is>
      </c>
      <c r="F995" s="17" t="inlineStr">
        <is>
          <t>Patenté</t>
        </is>
      </c>
      <c r="G995" s="16" t="inlineStr">
        <is>
          <t>7111Z</t>
        </is>
      </c>
      <c r="H995" s="16" t="inlineStr">
        <is>
          <t>S</t>
        </is>
      </c>
      <c r="I995" s="17" t="inlineStr">
        <is>
          <t>Services</t>
        </is>
      </c>
      <c r="J995" s="18" t="n">
        <v>0</v>
      </c>
      <c r="K995" s="18" t="n">
        <v>1</v>
      </c>
      <c r="L995" s="17" t="inlineStr">
        <is>
          <t>42359 A</t>
        </is>
      </c>
      <c r="M995" s="17" t="inlineStr">
        <is>
          <t>M JACCARD LAURENT DANIEL</t>
        </is>
      </c>
      <c r="N995" s="17" t="inlineStr">
        <is>
          <t>Chef d entreprise</t>
        </is>
      </c>
      <c r="O995" s="18" t="inlineStr">
        <is>
          <t>23192</t>
        </is>
      </c>
    </row>
    <row r="996" ht="20" customHeight="1">
      <c r="A996" s="13" t="inlineStr">
        <is>
          <t>PAEA-CCISM-0995</t>
        </is>
      </c>
      <c r="B996" s="13" t="inlineStr">
        <is>
          <t>E69003</t>
        </is>
      </c>
      <c r="C996" s="14" t="inlineStr">
        <is>
          <t>JAMET EILEEN VANINA</t>
        </is>
      </c>
      <c r="D996" s="14" t="inlineStr">
        <is>
          <t>QUA ROSE FAGNEAUX 98711 PAEA</t>
        </is>
      </c>
      <c r="E996" s="14" t="inlineStr">
        <is>
          <t>Patenté (Personne Physique)</t>
        </is>
      </c>
      <c r="F996" s="14" t="inlineStr">
        <is>
          <t>Patenté</t>
        </is>
      </c>
      <c r="G996" s="13" t="inlineStr">
        <is>
          <t>9604Z</t>
        </is>
      </c>
      <c r="H996" s="13" t="inlineStr">
        <is>
          <t>S</t>
        </is>
      </c>
      <c r="I996" s="14" t="inlineStr">
        <is>
          <t>Services</t>
        </is>
      </c>
      <c r="J996" s="15" t="n">
        <v>0</v>
      </c>
      <c r="K996" s="15" t="n">
        <v>1</v>
      </c>
      <c r="L996" s="14" t="inlineStr">
        <is>
          <t>22 761 A</t>
        </is>
      </c>
      <c r="M996" s="14" t="inlineStr">
        <is>
          <t>Mme JAMET EILEEN VANINA</t>
        </is>
      </c>
      <c r="N996" s="14" t="inlineStr">
        <is>
          <t>Chef d entreprise</t>
        </is>
      </c>
      <c r="O996" s="15" t="inlineStr">
        <is>
          <t>23218</t>
        </is>
      </c>
    </row>
    <row r="997" ht="20" customHeight="1">
      <c r="A997" s="16" t="inlineStr">
        <is>
          <t>PAEA-CCISM-0996</t>
        </is>
      </c>
      <c r="B997" s="16" t="inlineStr">
        <is>
          <t>D27442</t>
        </is>
      </c>
      <c r="C997" s="17" t="inlineStr">
        <is>
          <t>JARRY JEAN-LOUIS</t>
        </is>
      </c>
      <c r="D997" s="17" t="inlineStr">
        <is>
          <t>98711 PAEA</t>
        </is>
      </c>
      <c r="E997" s="17" t="inlineStr">
        <is>
          <t>Patenté (Personne Physique)</t>
        </is>
      </c>
      <c r="F997" s="17" t="inlineStr">
        <is>
          <t>Patenté</t>
        </is>
      </c>
      <c r="G997" s="16" t="inlineStr">
        <is>
          <t>9609Z</t>
        </is>
      </c>
      <c r="H997" s="16" t="inlineStr">
        <is>
          <t>S</t>
        </is>
      </c>
      <c r="I997" s="17" t="inlineStr">
        <is>
          <t>Services</t>
        </is>
      </c>
      <c r="J997" s="18" t="n">
        <v>0</v>
      </c>
      <c r="K997" s="18" t="n">
        <v>1</v>
      </c>
      <c r="L997" s="17" t="inlineStr">
        <is>
          <t>19 1370 A</t>
        </is>
      </c>
      <c r="M997" s="17" t="inlineStr">
        <is>
          <t>M JARRY JEAN-LOUIS</t>
        </is>
      </c>
      <c r="N997" s="17" t="inlineStr">
        <is>
          <t>Chef d entreprise</t>
        </is>
      </c>
      <c r="O997" s="18" t="inlineStr">
        <is>
          <t>23227</t>
        </is>
      </c>
    </row>
    <row r="998" ht="20" customHeight="1">
      <c r="A998" s="13" t="inlineStr">
        <is>
          <t>PAEA-CCISM-0997</t>
        </is>
      </c>
      <c r="B998" s="13" t="inlineStr">
        <is>
          <t>A76585</t>
        </is>
      </c>
      <c r="C998" s="14" t="inlineStr">
        <is>
          <t>JC A.G.I PEST CONTROL</t>
        </is>
      </c>
      <c r="D998" s="14" t="inlineStr">
        <is>
          <t>98711 PAEA</t>
        </is>
      </c>
      <c r="E998" s="14" t="inlineStr">
        <is>
          <t>SARL</t>
        </is>
      </c>
      <c r="F998" s="14" t="inlineStr">
        <is>
          <t>Société</t>
        </is>
      </c>
      <c r="G998" s="13" t="inlineStr">
        <is>
          <t>8129A</t>
        </is>
      </c>
      <c r="H998" s="13" t="inlineStr">
        <is>
          <t>S</t>
        </is>
      </c>
      <c r="I998" s="14" t="inlineStr">
        <is>
          <t>Services</t>
        </is>
      </c>
      <c r="J998" s="15" t="n">
        <v>11</v>
      </c>
      <c r="K998" s="15" t="n">
        <v>3</v>
      </c>
      <c r="L998" s="14" t="inlineStr">
        <is>
          <t>13 184 B</t>
        </is>
      </c>
      <c r="M998" s="14" t="inlineStr">
        <is>
          <t>M PREZIOSI JEAN-LUC PIERRE</t>
        </is>
      </c>
      <c r="N998" s="14" t="inlineStr">
        <is>
          <t>Gérant</t>
        </is>
      </c>
      <c r="O998" s="15" t="inlineStr">
        <is>
          <t>23236</t>
        </is>
      </c>
    </row>
    <row r="999" ht="20" customHeight="1">
      <c r="A999" s="16" t="inlineStr">
        <is>
          <t>PAEA-CCISM-0998</t>
        </is>
      </c>
      <c r="B999" s="16" t="inlineStr">
        <is>
          <t>E53866</t>
        </is>
      </c>
      <c r="C999" s="17" t="inlineStr">
        <is>
          <t>JEMA CONSULTING</t>
        </is>
      </c>
      <c r="D999" s="17" t="inlineStr">
        <is>
          <t>RESIDENCE BOURNE N°23 98711 PAEA</t>
        </is>
      </c>
      <c r="E999" s="17" t="inlineStr">
        <is>
          <t>SARL</t>
        </is>
      </c>
      <c r="F999" s="17" t="inlineStr">
        <is>
          <t>Société</t>
        </is>
      </c>
      <c r="G999" s="16" t="inlineStr">
        <is>
          <t>6312Z</t>
        </is>
      </c>
      <c r="H999" s="16" t="inlineStr">
        <is>
          <t>S</t>
        </is>
      </c>
      <c r="I999" s="17" t="inlineStr">
        <is>
          <t>Services</t>
        </is>
      </c>
      <c r="J999" s="18" t="n">
        <v>4</v>
      </c>
      <c r="K999" s="18" t="n">
        <v>1</v>
      </c>
      <c r="L999" s="17" t="inlineStr">
        <is>
          <t>21398B</t>
        </is>
      </c>
      <c r="M999" s="17" t="inlineStr">
        <is>
          <t>Mme SORIN JESSICA</t>
        </is>
      </c>
      <c r="N999" s="17" t="inlineStr">
        <is>
          <t>Autre</t>
        </is>
      </c>
      <c r="O999" s="18" t="inlineStr">
        <is>
          <t>23250</t>
        </is>
      </c>
    </row>
    <row r="1000" ht="20" customHeight="1">
      <c r="A1000" s="13" t="inlineStr">
        <is>
          <t>PAEA-CCISM-0999</t>
        </is>
      </c>
      <c r="B1000" s="13" t="inlineStr">
        <is>
          <t>565820</t>
        </is>
      </c>
      <c r="C1000" s="14" t="inlineStr">
        <is>
          <t>JOSEPH ALAIN</t>
        </is>
      </c>
      <c r="D1000" s="14" t="inlineStr">
        <is>
          <t>LOT E3 RESID VAITUPA 98711 PAEA</t>
        </is>
      </c>
      <c r="E1000" s="14" t="inlineStr">
        <is>
          <t>Patenté (Personne Physique)</t>
        </is>
      </c>
      <c r="F1000" s="14" t="inlineStr">
        <is>
          <t>Patenté</t>
        </is>
      </c>
      <c r="G1000" s="13" t="inlineStr">
        <is>
          <t>4619B</t>
        </is>
      </c>
      <c r="H1000" s="13" t="inlineStr">
        <is>
          <t>S</t>
        </is>
      </c>
      <c r="I1000" s="14" t="inlineStr">
        <is>
          <t>Services</t>
        </is>
      </c>
      <c r="J1000" s="15" t="n">
        <v>0</v>
      </c>
      <c r="K1000" s="15" t="n">
        <v>1</v>
      </c>
      <c r="L1000" s="14" t="inlineStr">
        <is>
          <t>24 296 A</t>
        </is>
      </c>
      <c r="M1000" s="14" t="inlineStr">
        <is>
          <t>M JOSEPH ALAIN</t>
        </is>
      </c>
      <c r="N1000" s="14" t="inlineStr">
        <is>
          <t>Chef d entreprise</t>
        </is>
      </c>
      <c r="O1000" s="15" t="inlineStr">
        <is>
          <t>23283</t>
        </is>
      </c>
    </row>
    <row r="1001" ht="20" customHeight="1">
      <c r="A1001" s="16" t="inlineStr">
        <is>
          <t>PAEA-CCISM-1000</t>
        </is>
      </c>
      <c r="B1001" s="16" t="inlineStr">
        <is>
          <t>E70522</t>
        </is>
      </c>
      <c r="C1001" s="17" t="inlineStr">
        <is>
          <t>JOUAN MAXANCE</t>
        </is>
      </c>
      <c r="D1001" s="17" t="inlineStr">
        <is>
          <t>AVANT CHEMIN PC PEST CONTROL 98711 PAEA</t>
        </is>
      </c>
      <c r="E1001" s="17" t="inlineStr">
        <is>
          <t>Patenté (Personne Physique)</t>
        </is>
      </c>
      <c r="F1001" s="17" t="inlineStr">
        <is>
          <t>Patenté</t>
        </is>
      </c>
      <c r="G1001" s="16" t="inlineStr">
        <is>
          <t>9609Z</t>
        </is>
      </c>
      <c r="H1001" s="16" t="inlineStr">
        <is>
          <t>S</t>
        </is>
      </c>
      <c r="I1001" s="17" t="inlineStr">
        <is>
          <t>Services</t>
        </is>
      </c>
      <c r="J1001" s="18" t="n">
        <v>0</v>
      </c>
      <c r="K1001" s="18" t="n">
        <v>1</v>
      </c>
      <c r="L1001" s="17" t="inlineStr">
        <is>
          <t>22 747 A</t>
        </is>
      </c>
      <c r="M1001" s="17" t="inlineStr">
        <is>
          <t>M JOUAN MAXANCE</t>
        </is>
      </c>
      <c r="N1001" s="17" t="inlineStr">
        <is>
          <t>Chef d entreprise</t>
        </is>
      </c>
      <c r="O1001" s="18" t="inlineStr">
        <is>
          <t>23285</t>
        </is>
      </c>
    </row>
    <row r="1002" ht="20" customHeight="1">
      <c r="A1002" s="13" t="inlineStr">
        <is>
          <t>PAEA-CCISM-1001</t>
        </is>
      </c>
      <c r="B1002" s="13" t="inlineStr">
        <is>
          <t>A21458</t>
        </is>
      </c>
      <c r="C1002" s="14" t="inlineStr">
        <is>
          <t>JOUVE OLIVIER</t>
        </is>
      </c>
      <c r="D1002" s="14" t="inlineStr">
        <is>
          <t>RTE DE LA VALLEE OROFERO SERVITUDE LABBEYI 98711 PAEA</t>
        </is>
      </c>
      <c r="E1002" s="14" t="inlineStr">
        <is>
          <t>Patenté (Personne Physique)</t>
        </is>
      </c>
      <c r="F1002" s="14" t="inlineStr">
        <is>
          <t>Patenté</t>
        </is>
      </c>
      <c r="G1002" s="13" t="inlineStr">
        <is>
          <t>9604Z</t>
        </is>
      </c>
      <c r="H1002" s="13" t="inlineStr">
        <is>
          <t>S</t>
        </is>
      </c>
      <c r="I1002" s="14" t="inlineStr">
        <is>
          <t>Services</t>
        </is>
      </c>
      <c r="J1002" s="15" t="n">
        <v>0</v>
      </c>
      <c r="K1002" s="15" t="n">
        <v>1</v>
      </c>
      <c r="L1002" s="14" t="inlineStr">
        <is>
          <t>19 2278 A</t>
        </is>
      </c>
      <c r="M1002" s="14" t="inlineStr">
        <is>
          <t>M JOUVE OLIVIER</t>
        </is>
      </c>
      <c r="N1002" s="14" t="inlineStr">
        <is>
          <t>Chef d entreprise</t>
        </is>
      </c>
      <c r="O1002" s="15" t="inlineStr">
        <is>
          <t>23303</t>
        </is>
      </c>
    </row>
    <row r="1003" ht="20" customHeight="1">
      <c r="A1003" s="16" t="inlineStr">
        <is>
          <t>PAEA-CCISM-1002</t>
        </is>
      </c>
      <c r="B1003" s="16" t="inlineStr">
        <is>
          <t>E17762</t>
        </is>
      </c>
      <c r="C1003" s="17" t="inlineStr">
        <is>
          <t>JUBELY TAUMIHAU HEIVA</t>
        </is>
      </c>
      <c r="D1003" s="17" t="inlineStr">
        <is>
          <t>VALLEE OROFERO PK 21,900 CT/MONT BP 10313 98711 PAEA</t>
        </is>
      </c>
      <c r="E1003" s="17" t="inlineStr">
        <is>
          <t>Patenté (Personne Physique)</t>
        </is>
      </c>
      <c r="F1003" s="17" t="inlineStr">
        <is>
          <t>Patenté</t>
        </is>
      </c>
      <c r="G1003" s="16" t="inlineStr">
        <is>
          <t>9001Z</t>
        </is>
      </c>
      <c r="H1003" s="16" t="inlineStr">
        <is>
          <t>S</t>
        </is>
      </c>
      <c r="I1003" s="17" t="inlineStr">
        <is>
          <t>Services</t>
        </is>
      </c>
      <c r="J1003" s="18" t="n">
        <v>0</v>
      </c>
      <c r="K1003" s="18" t="n">
        <v>1</v>
      </c>
      <c r="L1003" s="17" t="inlineStr">
        <is>
          <t>21 773 A</t>
        </is>
      </c>
      <c r="M1003" s="17" t="inlineStr">
        <is>
          <t>M JUBELY TAUMIHAU HEIVA</t>
        </is>
      </c>
      <c r="N1003" s="17" t="inlineStr">
        <is>
          <t>Chef d entreprise</t>
        </is>
      </c>
      <c r="O1003" s="18" t="inlineStr">
        <is>
          <t>23319</t>
        </is>
      </c>
    </row>
    <row r="1004" ht="20" customHeight="1">
      <c r="A1004" s="13" t="inlineStr">
        <is>
          <t>PAEA-CCISM-1003</t>
        </is>
      </c>
      <c r="B1004" s="13" t="inlineStr">
        <is>
          <t>C46204</t>
        </is>
      </c>
      <c r="C1004" s="14" t="inlineStr">
        <is>
          <t>JURCZYK MAGALIE</t>
        </is>
      </c>
      <c r="D1004" s="14" t="inlineStr">
        <is>
          <t>RTE LOTISSEMENT VAITUPA AV MAG PIERRE 98711 PAEA</t>
        </is>
      </c>
      <c r="E1004" s="14" t="inlineStr">
        <is>
          <t>Patenté (Personne Physique)</t>
        </is>
      </c>
      <c r="F1004" s="14" t="inlineStr">
        <is>
          <t>Patenté</t>
        </is>
      </c>
      <c r="G1004" s="13" t="inlineStr">
        <is>
          <t>7990Z</t>
        </is>
      </c>
      <c r="H1004" s="13" t="inlineStr">
        <is>
          <t>S</t>
        </is>
      </c>
      <c r="I1004" s="14" t="inlineStr">
        <is>
          <t>Services</t>
        </is>
      </c>
      <c r="J1004" s="15" t="n">
        <v>0</v>
      </c>
      <c r="K1004" s="15" t="n">
        <v>1</v>
      </c>
      <c r="L1004" s="14" t="inlineStr">
        <is>
          <t>17 1813 A</t>
        </is>
      </c>
      <c r="M1004" s="14" t="inlineStr">
        <is>
          <t>Mme JURCZYK MAGALIE</t>
        </is>
      </c>
      <c r="N1004" s="14" t="inlineStr">
        <is>
          <t>Chef d entreprise</t>
        </is>
      </c>
      <c r="O1004" s="15" t="inlineStr">
        <is>
          <t>23338</t>
        </is>
      </c>
    </row>
    <row r="1005" ht="20" customHeight="1">
      <c r="A1005" s="16" t="inlineStr">
        <is>
          <t>PAEA-CCISM-1004</t>
        </is>
      </c>
      <c r="B1005" s="16" t="inlineStr">
        <is>
          <t>E78970</t>
        </is>
      </c>
      <c r="C1005" s="17" t="inlineStr">
        <is>
          <t>JUVENTIN RITCHIE</t>
        </is>
      </c>
      <c r="D1005" s="17" t="inlineStr">
        <is>
          <t>LOTIS. HEITIARE 98711 PAEA</t>
        </is>
      </c>
      <c r="E1005" s="17" t="inlineStr">
        <is>
          <t>Patenté (Personne Physique)</t>
        </is>
      </c>
      <c r="F1005" s="17" t="inlineStr">
        <is>
          <t>Patenté</t>
        </is>
      </c>
      <c r="G1005" s="16" t="inlineStr">
        <is>
          <t>9609Z</t>
        </is>
      </c>
      <c r="H1005" s="16" t="inlineStr">
        <is>
          <t>S</t>
        </is>
      </c>
      <c r="I1005" s="17" t="inlineStr">
        <is>
          <t>Services</t>
        </is>
      </c>
      <c r="J1005" s="18" t="n">
        <v>0</v>
      </c>
      <c r="K1005" s="18" t="n">
        <v>1</v>
      </c>
      <c r="L1005" s="17" t="inlineStr">
        <is>
          <t>22 1315 A</t>
        </is>
      </c>
      <c r="M1005" s="17" t="inlineStr">
        <is>
          <t>M JUVENTIN RITCHIE</t>
        </is>
      </c>
      <c r="N1005" s="17" t="inlineStr">
        <is>
          <t>Chef d entreprise</t>
        </is>
      </c>
      <c r="O1005" s="18" t="inlineStr">
        <is>
          <t>23347</t>
        </is>
      </c>
    </row>
    <row r="1006" ht="20" customHeight="1">
      <c r="A1006" s="13" t="inlineStr">
        <is>
          <t>PAEA-CCISM-1005</t>
        </is>
      </c>
      <c r="B1006" s="13" t="inlineStr">
        <is>
          <t>E75992</t>
        </is>
      </c>
      <c r="C1006" s="14" t="inlineStr">
        <is>
          <t>JUVIN ANTHONY</t>
        </is>
      </c>
      <c r="D1006" s="14" t="inlineStr">
        <is>
          <t>98711 PAEA</t>
        </is>
      </c>
      <c r="E1006" s="14" t="inlineStr">
        <is>
          <t>Patenté (Personne Physique)</t>
        </is>
      </c>
      <c r="F1006" s="14" t="inlineStr">
        <is>
          <t>Patenté</t>
        </is>
      </c>
      <c r="G1006" s="13" t="inlineStr">
        <is>
          <t>6201Z</t>
        </is>
      </c>
      <c r="H1006" s="13" t="inlineStr">
        <is>
          <t>S</t>
        </is>
      </c>
      <c r="I1006" s="14" t="inlineStr">
        <is>
          <t>Services</t>
        </is>
      </c>
      <c r="J1006" s="15" t="n">
        <v>0</v>
      </c>
      <c r="K1006" s="15" t="n">
        <v>1</v>
      </c>
      <c r="L1006" s="14" t="inlineStr">
        <is>
          <t>22 1083 A</t>
        </is>
      </c>
      <c r="M1006" s="14" t="inlineStr">
        <is>
          <t>M JUVIN ANTHONY</t>
        </is>
      </c>
      <c r="N1006" s="14" t="inlineStr">
        <is>
          <t>Chef d entreprise</t>
        </is>
      </c>
      <c r="O1006" s="15" t="inlineStr">
        <is>
          <t>23351</t>
        </is>
      </c>
    </row>
    <row r="1007" ht="20" customHeight="1">
      <c r="A1007" s="16" t="inlineStr">
        <is>
          <t>PAEA-CCISM-1006</t>
        </is>
      </c>
      <c r="B1007" s="16" t="inlineStr">
        <is>
          <t>470708</t>
        </is>
      </c>
      <c r="C1007" s="17" t="inlineStr">
        <is>
          <t>KAIHA AUGUSTIN PAUTU</t>
        </is>
      </c>
      <c r="D1007" s="17" t="inlineStr">
        <is>
          <t>RTE LOTISSEMENT MONTARON N° 3 98711 PAEA</t>
        </is>
      </c>
      <c r="E1007" s="17" t="inlineStr">
        <is>
          <t>Patenté (Personne Physique)</t>
        </is>
      </c>
      <c r="F1007" s="17" t="inlineStr">
        <is>
          <t>Patenté</t>
        </is>
      </c>
      <c r="G1007" s="16" t="inlineStr">
        <is>
          <t>9003A</t>
        </is>
      </c>
      <c r="H1007" s="16" t="inlineStr">
        <is>
          <t>S</t>
        </is>
      </c>
      <c r="I1007" s="17" t="inlineStr">
        <is>
          <t>Services</t>
        </is>
      </c>
      <c r="J1007" s="18" t="n">
        <v>0</v>
      </c>
      <c r="K1007" s="18" t="n">
        <v>1</v>
      </c>
      <c r="L1007" s="17" t="inlineStr">
        <is>
          <t>20 1423 A</t>
        </is>
      </c>
      <c r="M1007" s="17" t="inlineStr">
        <is>
          <t>M KAIHA AUGUSTIN PAUTU</t>
        </is>
      </c>
      <c r="N1007" s="17" t="inlineStr">
        <is>
          <t>Chef d entreprise</t>
        </is>
      </c>
      <c r="O1007" s="18" t="inlineStr">
        <is>
          <t>23364</t>
        </is>
      </c>
    </row>
    <row r="1008" ht="20" customHeight="1">
      <c r="A1008" s="13" t="inlineStr">
        <is>
          <t>PAEA-CCISM-1007</t>
        </is>
      </c>
      <c r="B1008" s="13" t="inlineStr">
        <is>
          <t>G00491</t>
        </is>
      </c>
      <c r="C1008" s="14" t="inlineStr">
        <is>
          <t>KECK TEARAITUA</t>
        </is>
      </c>
      <c r="D1008" s="14" t="inlineStr">
        <is>
          <t>QTIER KECK-FROGIER 98711 PAEA</t>
        </is>
      </c>
      <c r="E1008" s="14" t="inlineStr">
        <is>
          <t>Patenté (Personne Physique)</t>
        </is>
      </c>
      <c r="F1008" s="14" t="inlineStr">
        <is>
          <t>Patenté</t>
        </is>
      </c>
      <c r="G1008" s="13" t="inlineStr">
        <is>
          <t>5520Z</t>
        </is>
      </c>
      <c r="H1008" s="13" t="inlineStr">
        <is>
          <t>S</t>
        </is>
      </c>
      <c r="I1008" s="14" t="inlineStr">
        <is>
          <t>Services</t>
        </is>
      </c>
      <c r="J1008" s="15" t="n">
        <v>0</v>
      </c>
      <c r="K1008" s="15" t="n">
        <v>1</v>
      </c>
      <c r="L1008" s="14" t="inlineStr">
        <is>
          <t>24 2290 A</t>
        </is>
      </c>
      <c r="M1008" s="14" t="inlineStr">
        <is>
          <t>Mme KECK TEARAITUA</t>
        </is>
      </c>
      <c r="N1008" s="14" t="inlineStr">
        <is>
          <t>Chef d entreprise 23437 SERVICE</t>
        </is>
      </c>
      <c r="O1008" s="15" t="inlineStr"/>
    </row>
    <row r="1009" ht="20" customHeight="1">
      <c r="A1009" s="16" t="inlineStr">
        <is>
          <t>PAEA-CCISM-1008</t>
        </is>
      </c>
      <c r="B1009" s="16" t="inlineStr">
        <is>
          <t>699512</t>
        </is>
      </c>
      <c r="C1009" s="17" t="inlineStr">
        <is>
          <t>K'L SOL C' EDITION</t>
        </is>
      </c>
      <c r="D1009" s="17" t="inlineStr">
        <is>
          <t>PAEA PK 22 C/MONT - RESIDENCE TAREVARE 98711 PAEA</t>
        </is>
      </c>
      <c r="E1009" s="17" t="inlineStr">
        <is>
          <t>SARL</t>
        </is>
      </c>
      <c r="F1009" s="17" t="inlineStr">
        <is>
          <t>Société</t>
        </is>
      </c>
      <c r="G1009" s="16" t="inlineStr">
        <is>
          <t>7311Z</t>
        </is>
      </c>
      <c r="H1009" s="16" t="inlineStr">
        <is>
          <t>S</t>
        </is>
      </c>
      <c r="I1009" s="17" t="inlineStr">
        <is>
          <t>Services</t>
        </is>
      </c>
      <c r="J1009" s="18" t="n">
        <v>0</v>
      </c>
      <c r="K1009" s="18" t="n">
        <v>1</v>
      </c>
      <c r="L1009" s="17" t="inlineStr">
        <is>
          <t>9981 B</t>
        </is>
      </c>
      <c r="M1009" s="17" t="inlineStr">
        <is>
          <t>M BENETEAU LUC</t>
        </is>
      </c>
      <c r="N1009" s="17" t="inlineStr">
        <is>
          <t>Gérant</t>
        </is>
      </c>
      <c r="O1009" s="18" t="inlineStr">
        <is>
          <t>23504</t>
        </is>
      </c>
    </row>
    <row r="1010" ht="20" customHeight="1">
      <c r="A1010" s="13" t="inlineStr">
        <is>
          <t>PAEA-CCISM-1009</t>
        </is>
      </c>
      <c r="B1010" s="13" t="inlineStr">
        <is>
          <t>541359</t>
        </is>
      </c>
      <c r="C1010" s="14" t="inlineStr">
        <is>
          <t>KNIGHT CHRISTOPHER KAVIKA</t>
        </is>
      </c>
      <c r="D1010" s="14" t="inlineStr">
        <is>
          <t>PAEA PK 19.5 C/MER 98711 PAEA</t>
        </is>
      </c>
      <c r="E1010" s="14" t="inlineStr">
        <is>
          <t>Patenté (Personne Physique)</t>
        </is>
      </c>
      <c r="F1010" s="14" t="inlineStr">
        <is>
          <t>Patenté</t>
        </is>
      </c>
      <c r="G1010" s="13" t="inlineStr">
        <is>
          <t>6201Z</t>
        </is>
      </c>
      <c r="H1010" s="13" t="inlineStr">
        <is>
          <t>S</t>
        </is>
      </c>
      <c r="I1010" s="14" t="inlineStr">
        <is>
          <t>Services</t>
        </is>
      </c>
      <c r="J1010" s="15" t="n">
        <v>0</v>
      </c>
      <c r="K1010" s="15" t="n">
        <v>1</v>
      </c>
      <c r="L1010" s="14" t="inlineStr">
        <is>
          <t>44154 A</t>
        </is>
      </c>
      <c r="M1010" s="14" t="inlineStr">
        <is>
          <t>M KNIGHT CHRISTOPHER</t>
        </is>
      </c>
      <c r="N1010" s="14" t="inlineStr">
        <is>
          <t>Chef d entreprise</t>
        </is>
      </c>
      <c r="O1010" s="15" t="inlineStr">
        <is>
          <t>23510</t>
        </is>
      </c>
    </row>
    <row r="1011" ht="20" customHeight="1">
      <c r="A1011" s="16" t="inlineStr">
        <is>
          <t>PAEA-CCISM-1010</t>
        </is>
      </c>
      <c r="B1011" s="16" t="inlineStr">
        <is>
          <t>F72658</t>
        </is>
      </c>
      <c r="C1011" s="17" t="inlineStr">
        <is>
          <t>KOHUMOETINI PAUL</t>
        </is>
      </c>
      <c r="D1011" s="17" t="inlineStr">
        <is>
          <t>98711 PAEA</t>
        </is>
      </c>
      <c r="E1011" s="17" t="inlineStr">
        <is>
          <t>Patenté (Personne Physique)</t>
        </is>
      </c>
      <c r="F1011" s="17" t="inlineStr">
        <is>
          <t>Patenté</t>
        </is>
      </c>
      <c r="G1011" s="16" t="inlineStr">
        <is>
          <t>5320Z</t>
        </is>
      </c>
      <c r="H1011" s="16" t="inlineStr">
        <is>
          <t>S</t>
        </is>
      </c>
      <c r="I1011" s="17" t="inlineStr">
        <is>
          <t>Services</t>
        </is>
      </c>
      <c r="J1011" s="18" t="n">
        <v>0</v>
      </c>
      <c r="K1011" s="18" t="n">
        <v>1</v>
      </c>
      <c r="L1011" s="17" t="inlineStr">
        <is>
          <t>24 439 A</t>
        </is>
      </c>
      <c r="M1011" s="17" t="inlineStr">
        <is>
          <t>M KOHUMOETINI PAUL</t>
        </is>
      </c>
      <c r="N1011" s="17" t="inlineStr">
        <is>
          <t>Chef d entreprise</t>
        </is>
      </c>
      <c r="O1011" s="18" t="inlineStr">
        <is>
          <t>23532</t>
        </is>
      </c>
    </row>
    <row r="1012" ht="20" customHeight="1">
      <c r="A1012" s="13" t="inlineStr">
        <is>
          <t>PAEA-CCISM-1011</t>
        </is>
      </c>
      <c r="B1012" s="13" t="inlineStr">
        <is>
          <t>789727</t>
        </is>
      </c>
      <c r="C1012" s="14" t="inlineStr">
        <is>
          <t>KRAINER JOANNE</t>
        </is>
      </c>
      <c r="D1012" s="14" t="inlineStr">
        <is>
          <t>98711 PAEA</t>
        </is>
      </c>
      <c r="E1012" s="14" t="inlineStr">
        <is>
          <t>Patenté (Personne Physique)</t>
        </is>
      </c>
      <c r="F1012" s="14" t="inlineStr">
        <is>
          <t>Patenté</t>
        </is>
      </c>
      <c r="G1012" s="13" t="inlineStr">
        <is>
          <t>7711A</t>
        </is>
      </c>
      <c r="H1012" s="13" t="inlineStr">
        <is>
          <t>S</t>
        </is>
      </c>
      <c r="I1012" s="14" t="inlineStr">
        <is>
          <t>Services</t>
        </is>
      </c>
      <c r="J1012" s="15" t="n">
        <v>0</v>
      </c>
      <c r="K1012" s="15" t="n">
        <v>1</v>
      </c>
      <c r="L1012" s="14" t="inlineStr">
        <is>
          <t>20 383 A</t>
        </is>
      </c>
      <c r="M1012" s="14" t="inlineStr">
        <is>
          <t>Mme KRAINER JOANNE</t>
        </is>
      </c>
      <c r="N1012" s="14" t="inlineStr">
        <is>
          <t>Chef d entreprise</t>
        </is>
      </c>
      <c r="O1012" s="15" t="inlineStr">
        <is>
          <t>23562</t>
        </is>
      </c>
    </row>
    <row r="1013" ht="20" customHeight="1">
      <c r="A1013" s="16" t="inlineStr">
        <is>
          <t>PAEA-CCISM-1012</t>
        </is>
      </c>
      <c r="B1013" s="16" t="inlineStr">
        <is>
          <t>625277</t>
        </is>
      </c>
      <c r="C1013" s="17" t="inlineStr">
        <is>
          <t>LABUTHIE STEVE ROSAN</t>
        </is>
      </c>
      <c r="D1013" s="17" t="inlineStr">
        <is>
          <t>PAEA PK 19.800C/MONT - AOU'A 98711 PAEA</t>
        </is>
      </c>
      <c r="E1013" s="17" t="inlineStr">
        <is>
          <t>Patenté (Personne Physique)</t>
        </is>
      </c>
      <c r="F1013" s="17" t="inlineStr">
        <is>
          <t>Patenté</t>
        </is>
      </c>
      <c r="G1013" s="16" t="inlineStr">
        <is>
          <t>9002Z</t>
        </is>
      </c>
      <c r="H1013" s="16" t="inlineStr">
        <is>
          <t>S</t>
        </is>
      </c>
      <c r="I1013" s="17" t="inlineStr">
        <is>
          <t>Services</t>
        </is>
      </c>
      <c r="J1013" s="18" t="n">
        <v>0</v>
      </c>
      <c r="K1013" s="18" t="n">
        <v>1</v>
      </c>
      <c r="L1013" s="17" t="inlineStr">
        <is>
          <t>40890 A</t>
        </is>
      </c>
      <c r="M1013" s="17" t="inlineStr">
        <is>
          <t>M LABUTHIE STEVE ROSAN</t>
        </is>
      </c>
      <c r="N1013" s="17" t="inlineStr">
        <is>
          <t>Chef d entreprise</t>
        </is>
      </c>
      <c r="O1013" s="18" t="inlineStr">
        <is>
          <t>23634</t>
        </is>
      </c>
    </row>
    <row r="1014" ht="20" customHeight="1">
      <c r="A1014" s="13" t="inlineStr">
        <is>
          <t>PAEA-CCISM-1013</t>
        </is>
      </c>
      <c r="B1014" s="13" t="inlineStr">
        <is>
          <t>B46925</t>
        </is>
      </c>
      <c r="C1014" s="14" t="inlineStr">
        <is>
          <t>LACHARME TAHIMORE</t>
        </is>
      </c>
      <c r="D1014" s="14" t="inlineStr">
        <is>
          <t>QUARTIER ATEO 98711 PAEA</t>
        </is>
      </c>
      <c r="E1014" s="14" t="inlineStr">
        <is>
          <t>Patenté (Personne Physique)</t>
        </is>
      </c>
      <c r="F1014" s="14" t="inlineStr">
        <is>
          <t>Patenté</t>
        </is>
      </c>
      <c r="G1014" s="13" t="inlineStr">
        <is>
          <t>9003A</t>
        </is>
      </c>
      <c r="H1014" s="13" t="inlineStr">
        <is>
          <t>S</t>
        </is>
      </c>
      <c r="I1014" s="14" t="inlineStr">
        <is>
          <t>Services</t>
        </is>
      </c>
      <c r="J1014" s="15" t="n">
        <v>0</v>
      </c>
      <c r="K1014" s="15" t="n">
        <v>1</v>
      </c>
      <c r="L1014" s="14" t="inlineStr">
        <is>
          <t>20 2382 A</t>
        </is>
      </c>
      <c r="M1014" s="14" t="inlineStr">
        <is>
          <t>M LACHARME TAHIMORE</t>
        </is>
      </c>
      <c r="N1014" s="14" t="inlineStr">
        <is>
          <t>Chef d entreprise</t>
        </is>
      </c>
      <c r="O1014" s="15" t="inlineStr">
        <is>
          <t>23637</t>
        </is>
      </c>
    </row>
    <row r="1015" ht="20" customHeight="1">
      <c r="A1015" s="16" t="inlineStr">
        <is>
          <t>PAEA-CCISM-1014</t>
        </is>
      </c>
      <c r="B1015" s="16" t="inlineStr">
        <is>
          <t>F68797</t>
        </is>
      </c>
      <c r="C1015" s="17" t="inlineStr">
        <is>
          <t>LACROIX VAIHEI</t>
        </is>
      </c>
      <c r="D1015" s="17" t="inlineStr">
        <is>
          <t>LOTIS VAITIARE LOT N22 BP 330215 98711 PAEA CEDEX</t>
        </is>
      </c>
      <c r="E1015" s="17" t="inlineStr">
        <is>
          <t>Patenté (Personne Physique)</t>
        </is>
      </c>
      <c r="F1015" s="17" t="inlineStr">
        <is>
          <t>Patenté</t>
        </is>
      </c>
      <c r="G1015" s="16" t="inlineStr">
        <is>
          <t>7022Z</t>
        </is>
      </c>
      <c r="H1015" s="16" t="inlineStr">
        <is>
          <t>S</t>
        </is>
      </c>
      <c r="I1015" s="17" t="inlineStr">
        <is>
          <t>Services</t>
        </is>
      </c>
      <c r="J1015" s="18" t="n">
        <v>0</v>
      </c>
      <c r="K1015" s="18" t="n">
        <v>1</v>
      </c>
      <c r="L1015" s="17" t="inlineStr">
        <is>
          <t>24 2058 A</t>
        </is>
      </c>
      <c r="M1015" s="17" t="inlineStr">
        <is>
          <t>Mme LACROIX VAIHEI</t>
        </is>
      </c>
      <c r="N1015" s="17" t="inlineStr">
        <is>
          <t>Chef d entreprise</t>
        </is>
      </c>
      <c r="O1015" s="18" t="inlineStr">
        <is>
          <t>23655</t>
        </is>
      </c>
    </row>
    <row r="1016" ht="20" customHeight="1">
      <c r="A1016" s="13" t="inlineStr">
        <is>
          <t>PAEA-CCISM-1015</t>
        </is>
      </c>
      <c r="B1016" s="13" t="inlineStr">
        <is>
          <t>E46084</t>
        </is>
      </c>
      <c r="C1016" s="14" t="inlineStr">
        <is>
          <t>LAGARDE NEE FAATAU NANCY</t>
        </is>
      </c>
      <c r="D1016" s="14" t="inlineStr">
        <is>
          <t>98711 PAEA</t>
        </is>
      </c>
      <c r="E1016" s="14" t="inlineStr">
        <is>
          <t>Patenté (Personne Physique)</t>
        </is>
      </c>
      <c r="F1016" s="14" t="inlineStr">
        <is>
          <t>Patenté</t>
        </is>
      </c>
      <c r="G1016" s="13" t="inlineStr">
        <is>
          <t>5320Z</t>
        </is>
      </c>
      <c r="H1016" s="13" t="inlineStr">
        <is>
          <t>S</t>
        </is>
      </c>
      <c r="I1016" s="14" t="inlineStr">
        <is>
          <t>Services</t>
        </is>
      </c>
      <c r="J1016" s="15" t="n">
        <v>0</v>
      </c>
      <c r="K1016" s="15" t="n">
        <v>1</v>
      </c>
      <c r="L1016" s="14" t="inlineStr">
        <is>
          <t>21 2686 A</t>
        </is>
      </c>
      <c r="M1016" s="14" t="inlineStr">
        <is>
          <t>Mme LAGARDE (Née FAATAU) NANCY</t>
        </is>
      </c>
      <c r="N1016" s="14" t="inlineStr">
        <is>
          <t>Chef d entreprise</t>
        </is>
      </c>
      <c r="O1016" s="15" t="inlineStr">
        <is>
          <t>23667</t>
        </is>
      </c>
    </row>
    <row r="1017" ht="20" customHeight="1">
      <c r="A1017" s="16" t="inlineStr">
        <is>
          <t>PAEA-CCISM-1016</t>
        </is>
      </c>
      <c r="B1017" s="16" t="inlineStr">
        <is>
          <t>G14518</t>
        </is>
      </c>
      <c r="C1017" s="17" t="inlineStr">
        <is>
          <t>LAI AH CHE HERENUI</t>
        </is>
      </c>
      <c r="D1017" s="17" t="inlineStr">
        <is>
          <t>98711 PAEA</t>
        </is>
      </c>
      <c r="E1017" s="17" t="inlineStr">
        <is>
          <t>Patenté (Personne Physique)</t>
        </is>
      </c>
      <c r="F1017" s="17" t="inlineStr">
        <is>
          <t>Patenté</t>
        </is>
      </c>
      <c r="G1017" s="16" t="inlineStr">
        <is>
          <t>7912Z</t>
        </is>
      </c>
      <c r="H1017" s="16" t="inlineStr">
        <is>
          <t>S</t>
        </is>
      </c>
      <c r="I1017" s="17" t="inlineStr">
        <is>
          <t>Services</t>
        </is>
      </c>
      <c r="J1017" s="18" t="n">
        <v>0</v>
      </c>
      <c r="K1017" s="18" t="n">
        <v>1</v>
      </c>
      <c r="L1017" s="17" t="inlineStr">
        <is>
          <t>25 549 A</t>
        </is>
      </c>
      <c r="M1017" s="17" t="inlineStr">
        <is>
          <t>Mme LAI AH CHE HERENUI</t>
        </is>
      </c>
      <c r="N1017" s="17" t="inlineStr">
        <is>
          <t>Chef d entreprise</t>
        </is>
      </c>
      <c r="O1017" s="18" t="inlineStr">
        <is>
          <t>23691</t>
        </is>
      </c>
    </row>
    <row r="1018" ht="20" customHeight="1">
      <c r="A1018" s="13" t="inlineStr">
        <is>
          <t>PAEA-CCISM-1017</t>
        </is>
      </c>
      <c r="B1018" s="13" t="inlineStr">
        <is>
          <t>D76837</t>
        </is>
      </c>
      <c r="C1018" s="14" t="inlineStr">
        <is>
          <t>LAI YANNICK</t>
        </is>
      </c>
      <c r="D1018" s="14" t="inlineStr">
        <is>
          <t>PK 24.500 C/MONT 98711 PAEA</t>
        </is>
      </c>
      <c r="E1018" s="14" t="inlineStr">
        <is>
          <t>Patenté (Personne Physique)</t>
        </is>
      </c>
      <c r="F1018" s="14" t="inlineStr">
        <is>
          <t>Patenté</t>
        </is>
      </c>
      <c r="G1018" s="13" t="inlineStr">
        <is>
          <t>7112B</t>
        </is>
      </c>
      <c r="H1018" s="13" t="inlineStr">
        <is>
          <t>S</t>
        </is>
      </c>
      <c r="I1018" s="14" t="inlineStr">
        <is>
          <t>Services</t>
        </is>
      </c>
      <c r="J1018" s="15" t="n">
        <v>0</v>
      </c>
      <c r="K1018" s="15" t="n">
        <v>1</v>
      </c>
      <c r="L1018" s="14" t="inlineStr">
        <is>
          <t>20 1150 A</t>
        </is>
      </c>
      <c r="M1018" s="14" t="inlineStr">
        <is>
          <t>M LAI YANNICK</t>
        </is>
      </c>
      <c r="N1018" s="14" t="inlineStr">
        <is>
          <t>Chef d entreprise</t>
        </is>
      </c>
      <c r="O1018" s="15" t="inlineStr">
        <is>
          <t>23709</t>
        </is>
      </c>
    </row>
    <row r="1019" ht="20" customHeight="1">
      <c r="A1019" s="16" t="inlineStr">
        <is>
          <t>PAEA-CCISM-1018</t>
        </is>
      </c>
      <c r="B1019" s="16" t="inlineStr">
        <is>
          <t>F55299</t>
        </is>
      </c>
      <c r="C1019" s="17" t="inlineStr">
        <is>
          <t>LAM CHEUNG NEE LEMAIRE MICHELE</t>
        </is>
      </c>
      <c r="D1019" s="17" t="inlineStr">
        <is>
          <t>LOT 11 - 98711 PAEA</t>
        </is>
      </c>
      <c r="E1019" s="17" t="inlineStr">
        <is>
          <t>Patenté (Personne Physique)</t>
        </is>
      </c>
      <c r="F1019" s="17" t="inlineStr">
        <is>
          <t>Patenté</t>
        </is>
      </c>
      <c r="G1019" s="16" t="inlineStr">
        <is>
          <t>5520Z</t>
        </is>
      </c>
      <c r="H1019" s="16" t="inlineStr">
        <is>
          <t>S</t>
        </is>
      </c>
      <c r="I1019" s="17" t="inlineStr">
        <is>
          <t>Services</t>
        </is>
      </c>
      <c r="J1019" s="18" t="n">
        <v>0</v>
      </c>
      <c r="K1019" s="18" t="n">
        <v>1</v>
      </c>
      <c r="L1019" s="17" t="inlineStr">
        <is>
          <t>23 3264 A</t>
        </is>
      </c>
      <c r="M1019" s="17" t="inlineStr">
        <is>
          <t>Mme LAM CHEUNG (Née LEMAIRE) MICHELE</t>
        </is>
      </c>
      <c r="N1019" s="17" t="inlineStr">
        <is>
          <t>Chef d entreprise</t>
        </is>
      </c>
      <c r="O1019" s="18" t="inlineStr">
        <is>
          <t>23728</t>
        </is>
      </c>
    </row>
    <row r="1020" ht="20" customHeight="1">
      <c r="A1020" s="13" t="inlineStr">
        <is>
          <t>PAEA-CCISM-1019</t>
        </is>
      </c>
      <c r="B1020" s="13" t="inlineStr">
        <is>
          <t>926592</t>
        </is>
      </c>
      <c r="C1020" s="14" t="inlineStr">
        <is>
          <t>LANCELIN CHRISTELLE</t>
        </is>
      </c>
      <c r="D1020" s="14" t="inlineStr">
        <is>
          <t>APP B05 RES WHITE PLAGE 98711 PAEA</t>
        </is>
      </c>
      <c r="E1020" s="14" t="inlineStr">
        <is>
          <t>Patenté (Personne Physique)</t>
        </is>
      </c>
      <c r="F1020" s="14" t="inlineStr">
        <is>
          <t>Patenté</t>
        </is>
      </c>
      <c r="G1020" s="13" t="inlineStr">
        <is>
          <t>6831Z</t>
        </is>
      </c>
      <c r="H1020" s="13" t="inlineStr">
        <is>
          <t>S</t>
        </is>
      </c>
      <c r="I1020" s="14" t="inlineStr">
        <is>
          <t>Services</t>
        </is>
      </c>
      <c r="J1020" s="15" t="n">
        <v>0</v>
      </c>
      <c r="K1020" s="15" t="n">
        <v>1</v>
      </c>
      <c r="L1020" s="14" t="inlineStr">
        <is>
          <t>25 1237 A</t>
        </is>
      </c>
      <c r="M1020" s="14" t="inlineStr">
        <is>
          <t>Mme LANCELIN CHRISTELLE</t>
        </is>
      </c>
      <c r="N1020" s="14" t="inlineStr">
        <is>
          <t>Chef d entreprise</t>
        </is>
      </c>
      <c r="O1020" s="15" t="inlineStr">
        <is>
          <t>23751</t>
        </is>
      </c>
    </row>
    <row r="1021" ht="20" customHeight="1">
      <c r="A1021" s="16" t="inlineStr">
        <is>
          <t>PAEA-CCISM-1020</t>
        </is>
      </c>
      <c r="B1021" s="16" t="inlineStr">
        <is>
          <t>E76388</t>
        </is>
      </c>
      <c r="C1021" s="17" t="inlineStr">
        <is>
          <t>LANCIANI SIMON</t>
        </is>
      </c>
      <c r="D1021" s="17" t="inlineStr">
        <is>
          <t>RESIDENCE LES JARDINS DE PAEA LOGT 444 - RTE COLLEGE DE PAEA 98711 PAEA</t>
        </is>
      </c>
      <c r="E1021" s="17" t="inlineStr">
        <is>
          <t>Patenté (Personne Physique)</t>
        </is>
      </c>
      <c r="F1021" s="17" t="inlineStr">
        <is>
          <t>Patenté</t>
        </is>
      </c>
      <c r="G1021" s="16" t="inlineStr">
        <is>
          <t>9001Z</t>
        </is>
      </c>
      <c r="H1021" s="16" t="inlineStr">
        <is>
          <t>S</t>
        </is>
      </c>
      <c r="I1021" s="17" t="inlineStr">
        <is>
          <t>Services</t>
        </is>
      </c>
      <c r="J1021" s="18" t="n">
        <v>0</v>
      </c>
      <c r="K1021" s="18" t="n">
        <v>1</v>
      </c>
      <c r="L1021" s="17" t="inlineStr">
        <is>
          <t>22 1216 A</t>
        </is>
      </c>
      <c r="M1021" s="17" t="inlineStr">
        <is>
          <t>M LANCIANI SIMON</t>
        </is>
      </c>
      <c r="N1021" s="17" t="inlineStr">
        <is>
          <t>Chef d entreprise</t>
        </is>
      </c>
      <c r="O1021" s="18" t="inlineStr">
        <is>
          <t>23753</t>
        </is>
      </c>
    </row>
    <row r="1022" ht="20" customHeight="1">
      <c r="A1022" s="13" t="inlineStr">
        <is>
          <t>PAEA-CCISM-1021</t>
        </is>
      </c>
      <c r="B1022" s="13" t="inlineStr">
        <is>
          <t>922625</t>
        </is>
      </c>
      <c r="C1022" s="14" t="inlineStr">
        <is>
          <t>LANTEIRES TAUMI</t>
        </is>
      </c>
      <c r="D1022" s="14" t="inlineStr">
        <is>
          <t>98711 PAEA</t>
        </is>
      </c>
      <c r="E1022" s="14" t="inlineStr">
        <is>
          <t>Patenté (Personne Physique)</t>
        </is>
      </c>
      <c r="F1022" s="14" t="inlineStr">
        <is>
          <t>Patenté</t>
        </is>
      </c>
      <c r="G1022" s="13" t="inlineStr">
        <is>
          <t>8129B</t>
        </is>
      </c>
      <c r="H1022" s="13" t="inlineStr">
        <is>
          <t>S</t>
        </is>
      </c>
      <c r="I1022" s="14" t="inlineStr">
        <is>
          <t>Services</t>
        </is>
      </c>
      <c r="J1022" s="15" t="n">
        <v>0</v>
      </c>
      <c r="K1022" s="15" t="n">
        <v>1</v>
      </c>
      <c r="L1022" s="14" t="inlineStr">
        <is>
          <t>15 2228 A</t>
        </is>
      </c>
      <c r="M1022" s="14" t="inlineStr">
        <is>
          <t>M LANTEIRES TAUMI</t>
        </is>
      </c>
      <c r="N1022" s="14" t="inlineStr">
        <is>
          <t>Chef d entreprise</t>
        </is>
      </c>
      <c r="O1022" s="15" t="inlineStr">
        <is>
          <t>23777</t>
        </is>
      </c>
    </row>
    <row r="1023" ht="20" customHeight="1">
      <c r="A1023" s="16" t="inlineStr">
        <is>
          <t>PAEA-CCISM-1022</t>
        </is>
      </c>
      <c r="B1023" s="16" t="inlineStr">
        <is>
          <t>E29387</t>
        </is>
      </c>
      <c r="C1023" s="17" t="inlineStr">
        <is>
          <t>LANTEIRES VAHINETEA</t>
        </is>
      </c>
      <c r="D1023" s="17" t="inlineStr">
        <is>
          <t>98711 PAEA</t>
        </is>
      </c>
      <c r="E1023" s="17" t="inlineStr">
        <is>
          <t>Patenté (Personne Physique)</t>
        </is>
      </c>
      <c r="F1023" s="17" t="inlineStr">
        <is>
          <t>Patenté</t>
        </is>
      </c>
      <c r="G1023" s="16" t="inlineStr">
        <is>
          <t>8219Z</t>
        </is>
      </c>
      <c r="H1023" s="16" t="inlineStr">
        <is>
          <t>S</t>
        </is>
      </c>
      <c r="I1023" s="17" t="inlineStr">
        <is>
          <t>Services</t>
        </is>
      </c>
      <c r="J1023" s="18" t="n">
        <v>0</v>
      </c>
      <c r="K1023" s="18" t="n">
        <v>1</v>
      </c>
      <c r="L1023" s="17" t="inlineStr">
        <is>
          <t>21 1510 A</t>
        </is>
      </c>
      <c r="M1023" s="17" t="inlineStr">
        <is>
          <t>Mme LANTEIRES VAHINETEA</t>
        </is>
      </c>
      <c r="N1023" s="17" t="inlineStr">
        <is>
          <t>Chef d entreprise</t>
        </is>
      </c>
      <c r="O1023" s="18" t="inlineStr">
        <is>
          <t>23778</t>
        </is>
      </c>
    </row>
    <row r="1024" ht="20" customHeight="1">
      <c r="A1024" s="13" t="inlineStr">
        <is>
          <t>PAEA-CCISM-1023</t>
        </is>
      </c>
      <c r="B1024" s="13" t="inlineStr">
        <is>
          <t>745455</t>
        </is>
      </c>
      <c r="C1024" s="14" t="inlineStr">
        <is>
          <t>LAURENTZ JEAN-DAVID STEPHANE</t>
        </is>
      </c>
      <c r="D1024" s="14" t="inlineStr">
        <is>
          <t>LOT 1 PARCELLE AW-161 PUTIAIHU PARCELLE DE LA PARCELLE B 98711 PAEA</t>
        </is>
      </c>
      <c r="E1024" s="14" t="inlineStr">
        <is>
          <t>Patenté (Personne Physique)</t>
        </is>
      </c>
      <c r="F1024" s="14" t="inlineStr">
        <is>
          <t>Patenté</t>
        </is>
      </c>
      <c r="G1024" s="13" t="inlineStr">
        <is>
          <t>7711A</t>
        </is>
      </c>
      <c r="H1024" s="13" t="inlineStr">
        <is>
          <t>S</t>
        </is>
      </c>
      <c r="I1024" s="14" t="inlineStr">
        <is>
          <t>Services</t>
        </is>
      </c>
      <c r="J1024" s="15" t="n">
        <v>0</v>
      </c>
      <c r="K1024" s="15" t="n">
        <v>1</v>
      </c>
      <c r="L1024" s="14" t="inlineStr">
        <is>
          <t>19 2590 A</t>
        </is>
      </c>
      <c r="M1024" s="14" t="inlineStr">
        <is>
          <t>M LAURENTZ JEAN-DAVID STEPHANE</t>
        </is>
      </c>
      <c r="N1024" s="14" t="inlineStr">
        <is>
          <t>Chef d entreprise</t>
        </is>
      </c>
      <c r="O1024" s="15" t="inlineStr">
        <is>
          <t>23849</t>
        </is>
      </c>
    </row>
    <row r="1025" ht="20" customHeight="1">
      <c r="A1025" s="16" t="inlineStr">
        <is>
          <t>PAEA-CCISM-1024</t>
        </is>
      </c>
      <c r="B1025" s="16" t="inlineStr">
        <is>
          <t>419176</t>
        </is>
      </c>
      <c r="C1025" s="17" t="inlineStr">
        <is>
          <t>LE GOFF MICHEL ANDRE</t>
        </is>
      </c>
      <c r="D1025" s="17" t="inlineStr">
        <is>
          <t>98711 PAEA</t>
        </is>
      </c>
      <c r="E1025" s="17" t="inlineStr">
        <is>
          <t>Patenté (Personne Physique)</t>
        </is>
      </c>
      <c r="F1025" s="17" t="inlineStr">
        <is>
          <t>Patenté</t>
        </is>
      </c>
      <c r="G1025" s="16" t="inlineStr">
        <is>
          <t>5520Z</t>
        </is>
      </c>
      <c r="H1025" s="16" t="inlineStr">
        <is>
          <t>S</t>
        </is>
      </c>
      <c r="I1025" s="17" t="inlineStr">
        <is>
          <t>Services</t>
        </is>
      </c>
      <c r="J1025" s="18" t="n">
        <v>0</v>
      </c>
      <c r="K1025" s="18" t="n">
        <v>1</v>
      </c>
      <c r="L1025" s="17" t="inlineStr">
        <is>
          <t>18 2289 A</t>
        </is>
      </c>
      <c r="M1025" s="17" t="inlineStr">
        <is>
          <t>M LE GOFF MICHEL ANDRE</t>
        </is>
      </c>
      <c r="N1025" s="17" t="inlineStr">
        <is>
          <t>Chef d entreprise</t>
        </is>
      </c>
      <c r="O1025" s="18" t="inlineStr">
        <is>
          <t>23923</t>
        </is>
      </c>
    </row>
    <row r="1026" ht="20" customHeight="1">
      <c r="A1026" s="13" t="inlineStr">
        <is>
          <t>PAEA-CCISM-1025</t>
        </is>
      </c>
      <c r="B1026" s="13" t="inlineStr">
        <is>
          <t>A96088</t>
        </is>
      </c>
      <c r="C1026" s="14" t="inlineStr">
        <is>
          <t>LEAO KITU NEE MARECHAL GAELLE</t>
        </is>
      </c>
      <c r="D1026" s="14" t="inlineStr">
        <is>
          <t>RTE DE LA VALLEE PAPEHUE 98711 PAEA</t>
        </is>
      </c>
      <c r="E1026" s="14" t="inlineStr">
        <is>
          <t>Patenté (Personne Physique)</t>
        </is>
      </c>
      <c r="F1026" s="14" t="inlineStr">
        <is>
          <t>Patenté</t>
        </is>
      </c>
      <c r="G1026" s="13" t="inlineStr">
        <is>
          <t>5590Z</t>
        </is>
      </c>
      <c r="H1026" s="13" t="inlineStr">
        <is>
          <t>S</t>
        </is>
      </c>
      <c r="I1026" s="14" t="inlineStr">
        <is>
          <t>Services</t>
        </is>
      </c>
      <c r="J1026" s="15" t="n">
        <v>0</v>
      </c>
      <c r="K1026" s="15" t="n">
        <v>1</v>
      </c>
      <c r="L1026" s="14" t="inlineStr">
        <is>
          <t>15 2117 A</t>
        </is>
      </c>
      <c r="M1026" s="14" t="inlineStr">
        <is>
          <t>Mme LEAO KITU (Née MARECHAL) GAELLE</t>
        </is>
      </c>
      <c r="N1026" s="14" t="inlineStr">
        <is>
          <t>Chef d entreprise</t>
        </is>
      </c>
      <c r="O1026" s="15" t="inlineStr">
        <is>
          <t>23974</t>
        </is>
      </c>
    </row>
    <row r="1027" ht="20" customHeight="1">
      <c r="A1027" s="16" t="inlineStr">
        <is>
          <t>PAEA-CCISM-1026</t>
        </is>
      </c>
      <c r="B1027" s="16" t="inlineStr">
        <is>
          <t>F04081</t>
        </is>
      </c>
      <c r="C1027" s="17" t="inlineStr">
        <is>
          <t>LEAU KANG-MUI TONY, EMILE</t>
        </is>
      </c>
      <c r="D1027" s="17" t="inlineStr">
        <is>
          <t>LOT B VAITUPA PARCELLE AN-357 98711 PAEA</t>
        </is>
      </c>
      <c r="E1027" s="17" t="inlineStr">
        <is>
          <t>Patenté (Personne Physique)</t>
        </is>
      </c>
      <c r="F1027" s="17" t="inlineStr">
        <is>
          <t>Patenté</t>
        </is>
      </c>
      <c r="G1027" s="16" t="inlineStr">
        <is>
          <t>7739Z</t>
        </is>
      </c>
      <c r="H1027" s="16" t="inlineStr">
        <is>
          <t>S</t>
        </is>
      </c>
      <c r="I1027" s="17" t="inlineStr">
        <is>
          <t>Services</t>
        </is>
      </c>
      <c r="J1027" s="18" t="n">
        <v>0</v>
      </c>
      <c r="K1027" s="18" t="n">
        <v>1</v>
      </c>
      <c r="L1027" s="17" t="inlineStr">
        <is>
          <t>22 3016 A</t>
        </is>
      </c>
      <c r="M1027" s="17" t="inlineStr">
        <is>
          <t>M LEAU KANG-MUI TONY, EMILE</t>
        </is>
      </c>
      <c r="N1027" s="17" t="inlineStr">
        <is>
          <t>Chef d entreprise 23977 SERVICE</t>
        </is>
      </c>
      <c r="O1027" s="18" t="inlineStr"/>
    </row>
    <row r="1028" ht="20" customHeight="1">
      <c r="A1028" s="13" t="inlineStr">
        <is>
          <t>PAEA-CCISM-1027</t>
        </is>
      </c>
      <c r="B1028" s="13" t="inlineStr">
        <is>
          <t>A09784</t>
        </is>
      </c>
      <c r="C1028" s="14" t="inlineStr">
        <is>
          <t>LEBRUN BRUNO</t>
        </is>
      </c>
      <c r="D1028" s="14" t="inlineStr">
        <is>
          <t>98711 PAEA</t>
        </is>
      </c>
      <c r="E1028" s="14" t="inlineStr">
        <is>
          <t>Patenté (Personne Physique)</t>
        </is>
      </c>
      <c r="F1028" s="14" t="inlineStr">
        <is>
          <t>Patenté</t>
        </is>
      </c>
      <c r="G1028" s="13" t="inlineStr">
        <is>
          <t>5520Z</t>
        </is>
      </c>
      <c r="H1028" s="13" t="inlineStr">
        <is>
          <t>S</t>
        </is>
      </c>
      <c r="I1028" s="14" t="inlineStr">
        <is>
          <t>Services</t>
        </is>
      </c>
      <c r="J1028" s="15" t="n">
        <v>0</v>
      </c>
      <c r="K1028" s="15" t="n">
        <v>1</v>
      </c>
      <c r="L1028" s="14" t="inlineStr">
        <is>
          <t>11 1988 A</t>
        </is>
      </c>
      <c r="M1028" s="14" t="inlineStr">
        <is>
          <t>M LEBRUN BRUNO</t>
        </is>
      </c>
      <c r="N1028" s="14" t="inlineStr">
        <is>
          <t>Chef d entreprise</t>
        </is>
      </c>
      <c r="O1028" s="15" t="inlineStr">
        <is>
          <t>23991</t>
        </is>
      </c>
    </row>
    <row r="1029" ht="20" customHeight="1">
      <c r="A1029" s="16" t="inlineStr">
        <is>
          <t>PAEA-CCISM-1028</t>
        </is>
      </c>
      <c r="B1029" s="16" t="inlineStr">
        <is>
          <t>C06570</t>
        </is>
      </c>
      <c r="C1029" s="17" t="inlineStr">
        <is>
          <t>LEFAY HINATEA</t>
        </is>
      </c>
      <c r="D1029" s="17" t="inlineStr">
        <is>
          <t>N°42 LOT BALDWIN 98711 PAEA</t>
        </is>
      </c>
      <c r="E1029" s="17" t="inlineStr">
        <is>
          <t>Patenté (Personne Physique)</t>
        </is>
      </c>
      <c r="F1029" s="17" t="inlineStr">
        <is>
          <t>Patenté</t>
        </is>
      </c>
      <c r="G1029" s="16" t="inlineStr">
        <is>
          <t>9609Z</t>
        </is>
      </c>
      <c r="H1029" s="16" t="inlineStr">
        <is>
          <t>S</t>
        </is>
      </c>
      <c r="I1029" s="17" t="inlineStr">
        <is>
          <t>Services</t>
        </is>
      </c>
      <c r="J1029" s="18" t="n">
        <v>0</v>
      </c>
      <c r="K1029" s="18" t="n">
        <v>1</v>
      </c>
      <c r="L1029" s="17" t="inlineStr">
        <is>
          <t>24 340 A</t>
        </is>
      </c>
      <c r="M1029" s="17" t="inlineStr">
        <is>
          <t>Mme LEFAY HINATEA</t>
        </is>
      </c>
      <c r="N1029" s="17" t="inlineStr">
        <is>
          <t>Chef d entreprise</t>
        </is>
      </c>
      <c r="O1029" s="18" t="inlineStr">
        <is>
          <t>24046</t>
        </is>
      </c>
    </row>
    <row r="1030" ht="20" customHeight="1">
      <c r="A1030" s="13" t="inlineStr">
        <is>
          <t>PAEA-CCISM-1029</t>
        </is>
      </c>
      <c r="B1030" s="13" t="inlineStr">
        <is>
          <t>F06813</t>
        </is>
      </c>
      <c r="C1030" s="14" t="inlineStr">
        <is>
          <t>LEFAY VEHIA</t>
        </is>
      </c>
      <c r="D1030" s="14" t="inlineStr">
        <is>
          <t>LOT 42 RTE DU LOTISSEMENT BALDWIN 98711 PAEA</t>
        </is>
      </c>
      <c r="E1030" s="14" t="inlineStr">
        <is>
          <t>Patenté (Personne Physique)</t>
        </is>
      </c>
      <c r="F1030" s="14" t="inlineStr">
        <is>
          <t>Patenté</t>
        </is>
      </c>
      <c r="G1030" s="13" t="inlineStr">
        <is>
          <t>9609Z</t>
        </is>
      </c>
      <c r="H1030" s="13" t="inlineStr">
        <is>
          <t>S</t>
        </is>
      </c>
      <c r="I1030" s="14" t="inlineStr">
        <is>
          <t>Services</t>
        </is>
      </c>
      <c r="J1030" s="15" t="n">
        <v>0</v>
      </c>
      <c r="K1030" s="15" t="n">
        <v>1</v>
      </c>
      <c r="L1030" s="14" t="inlineStr">
        <is>
          <t>22 3253 A</t>
        </is>
      </c>
      <c r="M1030" s="14" t="inlineStr">
        <is>
          <t>M LEFAY VEHIA</t>
        </is>
      </c>
      <c r="N1030" s="14" t="inlineStr">
        <is>
          <t>Chef d entreprise</t>
        </is>
      </c>
      <c r="O1030" s="15" t="inlineStr">
        <is>
          <t>24047</t>
        </is>
      </c>
    </row>
    <row r="1031" ht="20" customHeight="1">
      <c r="A1031" s="16" t="inlineStr">
        <is>
          <t>PAEA-CCISM-1030</t>
        </is>
      </c>
      <c r="B1031" s="16" t="inlineStr">
        <is>
          <t>F27454</t>
        </is>
      </c>
      <c r="C1031" s="17" t="inlineStr">
        <is>
          <t>LEFAY VICTOR</t>
        </is>
      </c>
      <c r="D1031" s="17" t="inlineStr">
        <is>
          <t>RTE LOTISSEMENT CHAPMAN 98711 PAEA</t>
        </is>
      </c>
      <c r="E1031" s="17" t="inlineStr">
        <is>
          <t>Patenté (Personne Physique)</t>
        </is>
      </c>
      <c r="F1031" s="17" t="inlineStr">
        <is>
          <t>Patenté</t>
        </is>
      </c>
      <c r="G1031" s="16" t="inlineStr">
        <is>
          <t>5520Z</t>
        </is>
      </c>
      <c r="H1031" s="16" t="inlineStr">
        <is>
          <t>S</t>
        </is>
      </c>
      <c r="I1031" s="17" t="inlineStr">
        <is>
          <t>Services</t>
        </is>
      </c>
      <c r="J1031" s="18" t="n">
        <v>0</v>
      </c>
      <c r="K1031" s="18" t="n">
        <v>1</v>
      </c>
      <c r="L1031" s="17" t="inlineStr">
        <is>
          <t>23 835 A</t>
        </is>
      </c>
      <c r="M1031" s="17" t="inlineStr">
        <is>
          <t>M LEFAY VICTOR</t>
        </is>
      </c>
      <c r="N1031" s="17" t="inlineStr">
        <is>
          <t>Chef d entreprise</t>
        </is>
      </c>
      <c r="O1031" s="18" t="inlineStr">
        <is>
          <t>24048</t>
        </is>
      </c>
    </row>
    <row r="1032" ht="20" customHeight="1">
      <c r="A1032" s="13" t="inlineStr">
        <is>
          <t>PAEA-CCISM-1031</t>
        </is>
      </c>
      <c r="B1032" s="13" t="inlineStr">
        <is>
          <t>F00204</t>
        </is>
      </c>
      <c r="C1032" s="14" t="inlineStr">
        <is>
          <t>LEHARTEL MANAVAI</t>
        </is>
      </c>
      <c r="D1032" s="14" t="inlineStr">
        <is>
          <t>98711 PAEA</t>
        </is>
      </c>
      <c r="E1032" s="14" t="inlineStr">
        <is>
          <t>Patenté (Personne Physique)</t>
        </is>
      </c>
      <c r="F1032" s="14" t="inlineStr">
        <is>
          <t>Patenté</t>
        </is>
      </c>
      <c r="G1032" s="13" t="inlineStr">
        <is>
          <t>5320Z</t>
        </is>
      </c>
      <c r="H1032" s="13" t="inlineStr">
        <is>
          <t>S</t>
        </is>
      </c>
      <c r="I1032" s="14" t="inlineStr">
        <is>
          <t>Services</t>
        </is>
      </c>
      <c r="J1032" s="15" t="n">
        <v>0</v>
      </c>
      <c r="K1032" s="15" t="n">
        <v>1</v>
      </c>
      <c r="L1032" s="14" t="inlineStr">
        <is>
          <t>22 2809 A</t>
        </is>
      </c>
      <c r="M1032" s="14" t="inlineStr">
        <is>
          <t>M LEHARTEL MANAVAI</t>
        </is>
      </c>
      <c r="N1032" s="14" t="inlineStr">
        <is>
          <t>Chef d entreprise</t>
        </is>
      </c>
      <c r="O1032" s="15" t="inlineStr">
        <is>
          <t>24085</t>
        </is>
      </c>
    </row>
    <row r="1033" ht="20" customHeight="1">
      <c r="A1033" s="16" t="inlineStr">
        <is>
          <t>PAEA-CCISM-1032</t>
        </is>
      </c>
      <c r="B1033" s="16" t="inlineStr">
        <is>
          <t>E49781</t>
        </is>
      </c>
      <c r="C1033" s="17" t="inlineStr">
        <is>
          <t>LELONG APETAHI NINA WENDY</t>
        </is>
      </c>
      <c r="D1033" s="17" t="inlineStr">
        <is>
          <t>VALLEE OROFERO SERVITUDE MAHATIA 98711 PAEA</t>
        </is>
      </c>
      <c r="E1033" s="17" t="inlineStr">
        <is>
          <t>Patenté (Personne Physique)</t>
        </is>
      </c>
      <c r="F1033" s="17" t="inlineStr">
        <is>
          <t>Patenté</t>
        </is>
      </c>
      <c r="G1033" s="16" t="inlineStr">
        <is>
          <t>9329Z</t>
        </is>
      </c>
      <c r="H1033" s="16" t="inlineStr">
        <is>
          <t>S</t>
        </is>
      </c>
      <c r="I1033" s="17" t="inlineStr">
        <is>
          <t>Services</t>
        </is>
      </c>
      <c r="J1033" s="18" t="n">
        <v>0</v>
      </c>
      <c r="K1033" s="18" t="n">
        <v>1</v>
      </c>
      <c r="L1033" s="17" t="inlineStr">
        <is>
          <t>21 2848 A</t>
        </is>
      </c>
      <c r="M1033" s="17" t="inlineStr">
        <is>
          <t>Mme LELONG APETAHI NINA WENDY</t>
        </is>
      </c>
      <c r="N1033" s="17" t="inlineStr">
        <is>
          <t>Chef d entreprise</t>
        </is>
      </c>
      <c r="O1033" s="18" t="inlineStr">
        <is>
          <t>24103</t>
        </is>
      </c>
    </row>
    <row r="1034" ht="20" customHeight="1">
      <c r="A1034" s="13" t="inlineStr">
        <is>
          <t>PAEA-CCISM-1033</t>
        </is>
      </c>
      <c r="B1034" s="13" t="inlineStr">
        <is>
          <t>F44467</t>
        </is>
      </c>
      <c r="C1034" s="14" t="inlineStr">
        <is>
          <t>LELONG MARTIAL</t>
        </is>
      </c>
      <c r="D1034" s="14" t="inlineStr">
        <is>
          <t>VALLEE OROFERO SERVITUDE MAHATIA 98711 PAEA</t>
        </is>
      </c>
      <c r="E1034" s="14" t="inlineStr">
        <is>
          <t>Patenté (Personne Physique)</t>
        </is>
      </c>
      <c r="F1034" s="14" t="inlineStr">
        <is>
          <t>Patenté</t>
        </is>
      </c>
      <c r="G1034" s="13" t="inlineStr">
        <is>
          <t>7022Z</t>
        </is>
      </c>
      <c r="H1034" s="13" t="inlineStr">
        <is>
          <t>S</t>
        </is>
      </c>
      <c r="I1034" s="14" t="inlineStr">
        <is>
          <t>Services</t>
        </is>
      </c>
      <c r="J1034" s="15" t="n">
        <v>0</v>
      </c>
      <c r="K1034" s="15" t="n">
        <v>1</v>
      </c>
      <c r="L1034" s="14" t="inlineStr">
        <is>
          <t>23 1988 A</t>
        </is>
      </c>
      <c r="M1034" s="14" t="inlineStr">
        <is>
          <t>M LELONG MARTIAL</t>
        </is>
      </c>
      <c r="N1034" s="14" t="inlineStr">
        <is>
          <t>Chef d entreprise</t>
        </is>
      </c>
      <c r="O1034" s="15" t="inlineStr">
        <is>
          <t>24104</t>
        </is>
      </c>
    </row>
    <row r="1035" ht="20" customHeight="1">
      <c r="A1035" s="16" t="inlineStr">
        <is>
          <t>PAEA-CCISM-1034</t>
        </is>
      </c>
      <c r="B1035" s="16" t="inlineStr">
        <is>
          <t>G21828</t>
        </is>
      </c>
      <c r="C1035" s="17" t="inlineStr">
        <is>
          <t>LEMEE NEE AMISANO MURIELLE IDA</t>
        </is>
      </c>
      <c r="D1035" s="17" t="inlineStr">
        <is>
          <t>N°38 PROP DEXTER LOT 1 SECTION AP 98711 PAEA</t>
        </is>
      </c>
      <c r="E1035" s="17" t="inlineStr">
        <is>
          <t>Patenté (Personne Physique)</t>
        </is>
      </c>
      <c r="F1035" s="17" t="inlineStr">
        <is>
          <t>Patenté</t>
        </is>
      </c>
      <c r="G1035" s="16" t="inlineStr">
        <is>
          <t>9609Z</t>
        </is>
      </c>
      <c r="H1035" s="16" t="inlineStr">
        <is>
          <t>S</t>
        </is>
      </c>
      <c r="I1035" s="17" t="inlineStr">
        <is>
          <t>Services</t>
        </is>
      </c>
      <c r="J1035" s="18" t="n">
        <v>0</v>
      </c>
      <c r="K1035" s="18" t="n">
        <v>1</v>
      </c>
      <c r="L1035" s="17" t="inlineStr">
        <is>
          <t>25 1126 A</t>
        </is>
      </c>
      <c r="M1035" s="17" t="inlineStr">
        <is>
          <t>Mme LEMEE (Née AMISANO) MURIELLE IDA</t>
        </is>
      </c>
      <c r="N1035" s="17" t="inlineStr">
        <is>
          <t>Chef d entreprise</t>
        </is>
      </c>
      <c r="O1035" s="18" t="inlineStr">
        <is>
          <t>24121</t>
        </is>
      </c>
    </row>
    <row r="1036" ht="20" customHeight="1">
      <c r="A1036" s="13" t="inlineStr">
        <is>
          <t>PAEA-CCISM-1035</t>
        </is>
      </c>
      <c r="B1036" s="13" t="inlineStr">
        <is>
          <t>293423</t>
        </is>
      </c>
      <c r="C1036" s="14" t="inlineStr">
        <is>
          <t>LEMOINE NICOLE</t>
        </is>
      </c>
      <c r="D1036" s="14" t="inlineStr">
        <is>
          <t>PAEA PK 21.5 C/MGNE 98711 PAEA</t>
        </is>
      </c>
      <c r="E1036" s="14" t="inlineStr">
        <is>
          <t>Patenté (Personne Physique)</t>
        </is>
      </c>
      <c r="F1036" s="14" t="inlineStr">
        <is>
          <t>Patenté</t>
        </is>
      </c>
      <c r="G1036" s="13" t="inlineStr">
        <is>
          <t>8690D</t>
        </is>
      </c>
      <c r="H1036" s="13" t="inlineStr">
        <is>
          <t>S</t>
        </is>
      </c>
      <c r="I1036" s="14" t="inlineStr">
        <is>
          <t>Services</t>
        </is>
      </c>
      <c r="J1036" s="15" t="n">
        <v>0</v>
      </c>
      <c r="K1036" s="15" t="n">
        <v>1</v>
      </c>
      <c r="L1036" s="14" t="inlineStr">
        <is>
          <t>24407 A</t>
        </is>
      </c>
      <c r="M1036" s="14" t="inlineStr">
        <is>
          <t>Mme LEMOINE NICOLE</t>
        </is>
      </c>
      <c r="N1036" s="14" t="inlineStr">
        <is>
          <t>Chef d entreprise</t>
        </is>
      </c>
      <c r="O1036" s="15" t="inlineStr">
        <is>
          <t>24125</t>
        </is>
      </c>
    </row>
    <row r="1037" ht="20" customHeight="1">
      <c r="A1037" s="16" t="inlineStr">
        <is>
          <t>PAEA-CCISM-1036</t>
        </is>
      </c>
      <c r="B1037" s="16" t="inlineStr">
        <is>
          <t>335950</t>
        </is>
      </c>
      <c r="C1037" s="17" t="inlineStr">
        <is>
          <t>LENOBLE ERIC VICTOR JOSEPH</t>
        </is>
      </c>
      <c r="D1037" s="17" t="inlineStr">
        <is>
          <t>PAEA PK 11.500 C/MONT 98711 PAEA</t>
        </is>
      </c>
      <c r="E1037" s="17" t="inlineStr">
        <is>
          <t>Patenté (Personne Physique)</t>
        </is>
      </c>
      <c r="F1037" s="17" t="inlineStr">
        <is>
          <t>Patenté</t>
        </is>
      </c>
      <c r="G1037" s="16" t="inlineStr">
        <is>
          <t>9319Z</t>
        </is>
      </c>
      <c r="H1037" s="16" t="inlineStr">
        <is>
          <t>S</t>
        </is>
      </c>
      <c r="I1037" s="17" t="inlineStr">
        <is>
          <t>Services</t>
        </is>
      </c>
      <c r="J1037" s="18" t="n">
        <v>0</v>
      </c>
      <c r="K1037" s="18" t="n">
        <v>1</v>
      </c>
      <c r="L1037" s="17" t="inlineStr">
        <is>
          <t>36338 A</t>
        </is>
      </c>
      <c r="M1037" s="17" t="inlineStr">
        <is>
          <t>M LENOBLE ERIC VICTOR JOSEPH</t>
        </is>
      </c>
      <c r="N1037" s="17" t="inlineStr">
        <is>
          <t>Chef d entreprise</t>
        </is>
      </c>
      <c r="O1037" s="18" t="inlineStr">
        <is>
          <t>24137</t>
        </is>
      </c>
    </row>
    <row r="1038" ht="20" customHeight="1">
      <c r="A1038" s="13" t="inlineStr">
        <is>
          <t>PAEA-CCISM-1037</t>
        </is>
      </c>
      <c r="B1038" s="13" t="inlineStr">
        <is>
          <t>F46363</t>
        </is>
      </c>
      <c r="C1038" s="14" t="inlineStr">
        <is>
          <t>LENOIR TAIA</t>
        </is>
      </c>
      <c r="D1038" s="14" t="inlineStr">
        <is>
          <t>LOTIS PAEHAU SERTV BAMBRIDGE 98711 PAEA</t>
        </is>
      </c>
      <c r="E1038" s="14" t="inlineStr">
        <is>
          <t>Patenté (Personne Physique)</t>
        </is>
      </c>
      <c r="F1038" s="14" t="inlineStr">
        <is>
          <t>Patenté</t>
        </is>
      </c>
      <c r="G1038" s="13" t="inlineStr">
        <is>
          <t>9609Z</t>
        </is>
      </c>
      <c r="H1038" s="13" t="inlineStr">
        <is>
          <t>S</t>
        </is>
      </c>
      <c r="I1038" s="14" t="inlineStr">
        <is>
          <t>Services</t>
        </is>
      </c>
      <c r="J1038" s="15" t="n">
        <v>0</v>
      </c>
      <c r="K1038" s="15" t="n">
        <v>1</v>
      </c>
      <c r="L1038" s="14" t="inlineStr">
        <is>
          <t>23 2083 A</t>
        </is>
      </c>
      <c r="M1038" s="14" t="inlineStr">
        <is>
          <t>M LENOIR TAIA</t>
        </is>
      </c>
      <c r="N1038" s="14" t="inlineStr">
        <is>
          <t>Chef d entreprise</t>
        </is>
      </c>
      <c r="O1038" s="15" t="inlineStr">
        <is>
          <t>24152</t>
        </is>
      </c>
    </row>
    <row r="1039" ht="20" customHeight="1">
      <c r="A1039" s="16" t="inlineStr">
        <is>
          <t>PAEA-CCISM-1038</t>
        </is>
      </c>
      <c r="B1039" s="16" t="inlineStr">
        <is>
          <t>D75938</t>
        </is>
      </c>
      <c r="C1039" s="17" t="inlineStr">
        <is>
          <t>LENOIR TETUAORO</t>
        </is>
      </c>
      <c r="D1039" s="17" t="inlineStr">
        <is>
          <t>RTE DE LA VALLEE OROFERO DERNIERE MAISON 98711 PAEA</t>
        </is>
      </c>
      <c r="E1039" s="17" t="inlineStr">
        <is>
          <t>Patenté (Personne Physique)</t>
        </is>
      </c>
      <c r="F1039" s="17" t="inlineStr">
        <is>
          <t>Patenté</t>
        </is>
      </c>
      <c r="G1039" s="16" t="inlineStr">
        <is>
          <t>6201Z</t>
        </is>
      </c>
      <c r="H1039" s="16" t="inlineStr">
        <is>
          <t>S</t>
        </is>
      </c>
      <c r="I1039" s="17" t="inlineStr">
        <is>
          <t>Services</t>
        </is>
      </c>
      <c r="J1039" s="18" t="n">
        <v>0</v>
      </c>
      <c r="K1039" s="18" t="n">
        <v>1</v>
      </c>
      <c r="L1039" s="17" t="inlineStr">
        <is>
          <t>20 1100 A</t>
        </is>
      </c>
      <c r="M1039" s="17" t="inlineStr">
        <is>
          <t>M LENOIR TETUAORO</t>
        </is>
      </c>
      <c r="N1039" s="17" t="inlineStr">
        <is>
          <t>Chef d entreprise</t>
        </is>
      </c>
      <c r="O1039" s="18" t="inlineStr">
        <is>
          <t>24156</t>
        </is>
      </c>
    </row>
    <row r="1040" ht="20" customHeight="1">
      <c r="A1040" s="13" t="inlineStr">
        <is>
          <t>PAEA-CCISM-1039</t>
        </is>
      </c>
      <c r="B1040" s="13" t="inlineStr">
        <is>
          <t>F59846</t>
        </is>
      </c>
      <c r="C1040" s="14" t="inlineStr">
        <is>
          <t>LES DELICES DE MERCURE</t>
        </is>
      </c>
      <c r="D1040" s="14" t="inlineStr">
        <is>
          <t>98711 PAEA</t>
        </is>
      </c>
      <c r="E1040" s="14" t="inlineStr">
        <is>
          <t>SARL Unipersonnelle</t>
        </is>
      </c>
      <c r="F1040" s="14" t="inlineStr">
        <is>
          <t>Société</t>
        </is>
      </c>
      <c r="G1040" s="13" t="inlineStr">
        <is>
          <t>7010Z</t>
        </is>
      </c>
      <c r="H1040" s="13" t="inlineStr">
        <is>
          <t>S</t>
        </is>
      </c>
      <c r="I1040" s="14" t="inlineStr">
        <is>
          <t>Services</t>
        </is>
      </c>
      <c r="J1040" s="15" t="n">
        <v>0</v>
      </c>
      <c r="K1040" s="15" t="n">
        <v>1</v>
      </c>
      <c r="L1040" s="14" t="inlineStr">
        <is>
          <t>23 467 B</t>
        </is>
      </c>
      <c r="M1040" s="14" t="inlineStr">
        <is>
          <t>Mme RENOUF (Née GAURIN) LEILANIE MAREVA</t>
        </is>
      </c>
      <c r="N1040" s="14" t="inlineStr">
        <is>
          <t>Gérant</t>
        </is>
      </c>
      <c r="O1040" s="15" t="inlineStr">
        <is>
          <t>24203</t>
        </is>
      </c>
    </row>
    <row r="1041" ht="20" customHeight="1">
      <c r="A1041" s="16" t="inlineStr">
        <is>
          <t>PAEA-CCISM-1040</t>
        </is>
      </c>
      <c r="B1041" s="16" t="inlineStr">
        <is>
          <t>907782</t>
        </is>
      </c>
      <c r="C1041" s="17" t="inlineStr">
        <is>
          <t>LES SAPINS</t>
        </is>
      </c>
      <c r="D1041" s="17" t="inlineStr">
        <is>
          <t>PAPEHUA 98711 PAEA</t>
        </is>
      </c>
      <c r="E1041" s="17" t="inlineStr">
        <is>
          <t>SARL</t>
        </is>
      </c>
      <c r="F1041" s="17" t="inlineStr">
        <is>
          <t>Société</t>
        </is>
      </c>
      <c r="G1041" s="16" t="inlineStr">
        <is>
          <t>8891A</t>
        </is>
      </c>
      <c r="H1041" s="16" t="inlineStr">
        <is>
          <t>S</t>
        </is>
      </c>
      <c r="I1041" s="17" t="inlineStr">
        <is>
          <t>Services</t>
        </is>
      </c>
      <c r="J1041" s="18" t="n">
        <v>0</v>
      </c>
      <c r="K1041" s="18" t="n">
        <v>1</v>
      </c>
      <c r="L1041" s="17" t="inlineStr">
        <is>
          <t>09 148 B</t>
        </is>
      </c>
      <c r="M1041" s="17" t="inlineStr">
        <is>
          <t>Mme CHIN LOY (Née PONTALTI) ANGELE ANTOINETTE</t>
        </is>
      </c>
      <c r="N1041" s="17" t="inlineStr">
        <is>
          <t>Gérant et associé indéfiniment responsa</t>
        </is>
      </c>
      <c r="O1041" s="18" t="inlineStr">
        <is>
          <t>24214</t>
        </is>
      </c>
    </row>
    <row r="1042" ht="20" customHeight="1">
      <c r="A1042" s="13" t="inlineStr">
        <is>
          <t>PAEA-CCISM-1041</t>
        </is>
      </c>
      <c r="B1042" s="13" t="inlineStr">
        <is>
          <t>A15252</t>
        </is>
      </c>
      <c r="C1042" s="14" t="inlineStr">
        <is>
          <t>LEVERD TIARE MARLENE</t>
        </is>
      </c>
      <c r="D1042" s="14" t="inlineStr">
        <is>
          <t>98711 PAEA</t>
        </is>
      </c>
      <c r="E1042" s="14" t="inlineStr">
        <is>
          <t>Patenté (Personne Physique)</t>
        </is>
      </c>
      <c r="F1042" s="14" t="inlineStr">
        <is>
          <t>Patenté</t>
        </is>
      </c>
      <c r="G1042" s="13" t="inlineStr">
        <is>
          <t>5520Z</t>
        </is>
      </c>
      <c r="H1042" s="13" t="inlineStr">
        <is>
          <t>S</t>
        </is>
      </c>
      <c r="I1042" s="14" t="inlineStr">
        <is>
          <t>Services</t>
        </is>
      </c>
      <c r="J1042" s="15" t="n">
        <v>0</v>
      </c>
      <c r="K1042" s="15" t="n">
        <v>1</v>
      </c>
      <c r="L1042" s="14" t="inlineStr">
        <is>
          <t>20 726 A</t>
        </is>
      </c>
      <c r="M1042" s="14" t="inlineStr">
        <is>
          <t>Mme LEVERD TIARE MARLENE</t>
        </is>
      </c>
      <c r="N1042" s="14" t="inlineStr">
        <is>
          <t>Chef d entreprise</t>
        </is>
      </c>
      <c r="O1042" s="15" t="inlineStr">
        <is>
          <t>24248</t>
        </is>
      </c>
    </row>
    <row r="1043" ht="20" customHeight="1">
      <c r="A1043" s="16" t="inlineStr">
        <is>
          <t>PAEA-CCISM-1042</t>
        </is>
      </c>
      <c r="B1043" s="16" t="inlineStr">
        <is>
          <t>C64686</t>
        </is>
      </c>
      <c r="C1043" s="17" t="inlineStr">
        <is>
          <t>LIGHTHART - TEMEHAMEHA ALEXANDRE NICOLAS</t>
        </is>
      </c>
      <c r="D1043" s="17" t="inlineStr">
        <is>
          <t>98711 PAEA</t>
        </is>
      </c>
      <c r="E1043" s="17" t="inlineStr">
        <is>
          <t>Patenté (Personne Physique)</t>
        </is>
      </c>
      <c r="F1043" s="17" t="inlineStr">
        <is>
          <t>Patenté</t>
        </is>
      </c>
      <c r="G1043" s="16" t="inlineStr">
        <is>
          <t>4939B</t>
        </is>
      </c>
      <c r="H1043" s="16" t="inlineStr">
        <is>
          <t>S</t>
        </is>
      </c>
      <c r="I1043" s="17" t="inlineStr">
        <is>
          <t>Services</t>
        </is>
      </c>
      <c r="J1043" s="18" t="n">
        <v>0</v>
      </c>
      <c r="K1043" s="18" t="n">
        <v>1</v>
      </c>
      <c r="L1043" s="17" t="inlineStr">
        <is>
          <t>18 114 A</t>
        </is>
      </c>
      <c r="M1043" s="17" t="inlineStr">
        <is>
          <t>M LIGHTHART - TEMEHAMEHA ALEXANDRE NICOLAS</t>
        </is>
      </c>
      <c r="N1043" s="17" t="inlineStr">
        <is>
          <t>Chef d entreprise</t>
        </is>
      </c>
      <c r="O1043" s="18" t="inlineStr">
        <is>
          <t>24293</t>
        </is>
      </c>
    </row>
    <row r="1044" ht="20" customHeight="1">
      <c r="A1044" s="13" t="inlineStr">
        <is>
          <t>PAEA-CCISM-1043</t>
        </is>
      </c>
      <c r="B1044" s="13" t="inlineStr">
        <is>
          <t>135897</t>
        </is>
      </c>
      <c r="C1044" s="14" t="inlineStr">
        <is>
          <t>LIGTHART-TEMEHAMEHA NEE LUCAS SARAH TARA</t>
        </is>
      </c>
      <c r="D1044" s="14" t="inlineStr">
        <is>
          <t>98711 PAEA</t>
        </is>
      </c>
      <c r="E1044" s="14" t="inlineStr">
        <is>
          <t>Patenté (Personne Physique)</t>
        </is>
      </c>
      <c r="F1044" s="14" t="inlineStr">
        <is>
          <t>Patenté</t>
        </is>
      </c>
      <c r="G1044" s="13" t="inlineStr">
        <is>
          <t>9604Z</t>
        </is>
      </c>
      <c r="H1044" s="13" t="inlineStr">
        <is>
          <t>S</t>
        </is>
      </c>
      <c r="I1044" s="14" t="inlineStr">
        <is>
          <t>Services</t>
        </is>
      </c>
      <c r="J1044" s="15" t="n">
        <v>0</v>
      </c>
      <c r="K1044" s="15" t="n">
        <v>1</v>
      </c>
      <c r="L1044" s="14" t="inlineStr">
        <is>
          <t>16 483 A</t>
        </is>
      </c>
      <c r="M1044" s="14" t="inlineStr">
        <is>
          <t>Mme LIGTHART-TEMEHAMEHA (Née LUCAS) SARAH TARA</t>
        </is>
      </c>
      <c r="N1044" s="14" t="inlineStr">
        <is>
          <t>Chef d entreprise</t>
        </is>
      </c>
      <c r="O1044" s="15" t="inlineStr">
        <is>
          <t>24297</t>
        </is>
      </c>
    </row>
    <row r="1045" ht="20" customHeight="1">
      <c r="A1045" s="16" t="inlineStr">
        <is>
          <t>PAEA-CCISM-1044</t>
        </is>
      </c>
      <c r="B1045" s="16" t="inlineStr">
        <is>
          <t>F99289</t>
        </is>
      </c>
      <c r="C1045" s="17" t="inlineStr">
        <is>
          <t>LO YOU ANGELIQUE TERAI</t>
        </is>
      </c>
      <c r="D1045" s="17" t="inlineStr">
        <is>
          <t>QTR SYDNEY CHAPMAN 98711 PAEA</t>
        </is>
      </c>
      <c r="E1045" s="17" t="inlineStr">
        <is>
          <t>Patenté (Personne Physique)</t>
        </is>
      </c>
      <c r="F1045" s="17" t="inlineStr">
        <is>
          <t>Patenté</t>
        </is>
      </c>
      <c r="G1045" s="16" t="inlineStr">
        <is>
          <t>8810A</t>
        </is>
      </c>
      <c r="H1045" s="16" t="inlineStr">
        <is>
          <t>S</t>
        </is>
      </c>
      <c r="I1045" s="17" t="inlineStr">
        <is>
          <t>Services</t>
        </is>
      </c>
      <c r="J1045" s="18" t="n">
        <v>0</v>
      </c>
      <c r="K1045" s="18" t="n">
        <v>1</v>
      </c>
      <c r="L1045" s="17" t="inlineStr">
        <is>
          <t>24 2254 A</t>
        </is>
      </c>
      <c r="M1045" s="17" t="inlineStr">
        <is>
          <t>Mme LO YOU ANGELIQUE TERAI</t>
        </is>
      </c>
      <c r="N1045" s="17" t="inlineStr">
        <is>
          <t>Chef d entreprise</t>
        </is>
      </c>
      <c r="O1045" s="18" t="inlineStr">
        <is>
          <t>24364</t>
        </is>
      </c>
    </row>
    <row r="1046" ht="20" customHeight="1">
      <c r="A1046" s="13" t="inlineStr">
        <is>
          <t>PAEA-CCISM-1045</t>
        </is>
      </c>
      <c r="B1046" s="13" t="inlineStr">
        <is>
          <t>D37896</t>
        </is>
      </c>
      <c r="C1046" s="14" t="inlineStr">
        <is>
          <t>LOUIS MAREVA SOPHIE</t>
        </is>
      </c>
      <c r="D1046" s="14" t="inlineStr">
        <is>
          <t>RTE DU LOTISSEMENT PAPEHUE 1ERE A DROITE 98711 PAEA</t>
        </is>
      </c>
      <c r="E1046" s="14" t="inlineStr">
        <is>
          <t>Patenté (Personne Physique)</t>
        </is>
      </c>
      <c r="F1046" s="14" t="inlineStr">
        <is>
          <t>Patenté</t>
        </is>
      </c>
      <c r="G1046" s="13" t="inlineStr">
        <is>
          <t>9609Z</t>
        </is>
      </c>
      <c r="H1046" s="13" t="inlineStr">
        <is>
          <t>S</t>
        </is>
      </c>
      <c r="I1046" s="14" t="inlineStr">
        <is>
          <t>Services</t>
        </is>
      </c>
      <c r="J1046" s="15" t="n">
        <v>0</v>
      </c>
      <c r="K1046" s="15" t="n">
        <v>1</v>
      </c>
      <c r="L1046" s="14" t="inlineStr">
        <is>
          <t>20 1082 A</t>
        </is>
      </c>
      <c r="M1046" s="14" t="inlineStr">
        <is>
          <t>Mme LOUIS MAREVA SOPHIE</t>
        </is>
      </c>
      <c r="N1046" s="14" t="inlineStr">
        <is>
          <t>Chef d entreprise 24422 SERVICE</t>
        </is>
      </c>
      <c r="O1046" s="15" t="inlineStr"/>
    </row>
    <row r="1047" ht="20" customHeight="1">
      <c r="A1047" s="16" t="inlineStr">
        <is>
          <t>PAEA-CCISM-1046</t>
        </is>
      </c>
      <c r="B1047" s="16" t="inlineStr">
        <is>
          <t>E79390</t>
        </is>
      </c>
      <c r="C1047" s="17" t="inlineStr">
        <is>
          <t>LUBIN LUDOVIC</t>
        </is>
      </c>
      <c r="D1047" s="17" t="inlineStr">
        <is>
          <t>QTR GRAUX SVT ATIVAVAU 1 N°12 98711 PAEA</t>
        </is>
      </c>
      <c r="E1047" s="17" t="inlineStr">
        <is>
          <t>Patenté (Personne Physique)</t>
        </is>
      </c>
      <c r="F1047" s="17" t="inlineStr">
        <is>
          <t>Patenté</t>
        </is>
      </c>
      <c r="G1047" s="16" t="inlineStr">
        <is>
          <t>9609Z</t>
        </is>
      </c>
      <c r="H1047" s="16" t="inlineStr">
        <is>
          <t>S</t>
        </is>
      </c>
      <c r="I1047" s="17" t="inlineStr">
        <is>
          <t>Services</t>
        </is>
      </c>
      <c r="J1047" s="18" t="n">
        <v>0</v>
      </c>
      <c r="K1047" s="18" t="n">
        <v>1</v>
      </c>
      <c r="L1047" s="17" t="inlineStr">
        <is>
          <t>22 1463 A</t>
        </is>
      </c>
      <c r="M1047" s="17" t="inlineStr">
        <is>
          <t>M LUBIN LUDOVIC</t>
        </is>
      </c>
      <c r="N1047" s="17" t="inlineStr">
        <is>
          <t>Chef d entreprise</t>
        </is>
      </c>
      <c r="O1047" s="18" t="inlineStr">
        <is>
          <t>24441</t>
        </is>
      </c>
    </row>
    <row r="1048" ht="20" customHeight="1">
      <c r="A1048" s="13" t="inlineStr">
        <is>
          <t>PAEA-CCISM-1047</t>
        </is>
      </c>
      <c r="B1048" s="13" t="inlineStr">
        <is>
          <t>539528</t>
        </is>
      </c>
      <c r="C1048" s="14" t="inlineStr">
        <is>
          <t>LUCCIONI ARNAUD PAUL ANDRE</t>
        </is>
      </c>
      <c r="D1048" s="14" t="inlineStr">
        <is>
          <t>PAEA PK 20.200 C/MER 98711 PAEA</t>
        </is>
      </c>
      <c r="E1048" s="14" t="inlineStr">
        <is>
          <t>Patenté (Personne Physique)</t>
        </is>
      </c>
      <c r="F1048" s="14" t="inlineStr">
        <is>
          <t>Patenté</t>
        </is>
      </c>
      <c r="G1048" s="13" t="inlineStr">
        <is>
          <t>9319Z</t>
        </is>
      </c>
      <c r="H1048" s="13" t="inlineStr">
        <is>
          <t>S</t>
        </is>
      </c>
      <c r="I1048" s="14" t="inlineStr">
        <is>
          <t>Services</t>
        </is>
      </c>
      <c r="J1048" s="15" t="n">
        <v>0</v>
      </c>
      <c r="K1048" s="15" t="n">
        <v>1</v>
      </c>
      <c r="L1048" s="14" t="inlineStr">
        <is>
          <t>36574 A</t>
        </is>
      </c>
      <c r="M1048" s="14" t="inlineStr">
        <is>
          <t>M LUCCIONI ARNAUD PAUL ANDRE</t>
        </is>
      </c>
      <c r="N1048" s="14" t="inlineStr">
        <is>
          <t>Chef d entreprise</t>
        </is>
      </c>
      <c r="O1048" s="15" t="inlineStr">
        <is>
          <t>24458</t>
        </is>
      </c>
    </row>
    <row r="1049" ht="20" customHeight="1">
      <c r="A1049" s="16" t="inlineStr">
        <is>
          <t>PAEA-CCISM-1048</t>
        </is>
      </c>
      <c r="B1049" s="16" t="inlineStr">
        <is>
          <t>F75420</t>
        </is>
      </c>
      <c r="C1049" s="17" t="inlineStr">
        <is>
          <t>LUCCIONI JEAN JACQUES</t>
        </is>
      </c>
      <c r="D1049" s="17" t="inlineStr">
        <is>
          <t>LOT 2/22 RESIDENCE FARE MITI 98711 PAEA</t>
        </is>
      </c>
      <c r="E1049" s="17" t="inlineStr">
        <is>
          <t>Patenté (Personne Physique)</t>
        </is>
      </c>
      <c r="F1049" s="17" t="inlineStr">
        <is>
          <t>Patenté</t>
        </is>
      </c>
      <c r="G1049" s="16" t="inlineStr">
        <is>
          <t>5520Z</t>
        </is>
      </c>
      <c r="H1049" s="16" t="inlineStr">
        <is>
          <t>S</t>
        </is>
      </c>
      <c r="I1049" s="17" t="inlineStr">
        <is>
          <t>Services</t>
        </is>
      </c>
      <c r="J1049" s="18" t="n">
        <v>0</v>
      </c>
      <c r="K1049" s="18" t="n">
        <v>1</v>
      </c>
      <c r="L1049" s="17" t="inlineStr">
        <is>
          <t>24 660 A</t>
        </is>
      </c>
      <c r="M1049" s="17" t="inlineStr">
        <is>
          <t>M LUCCIONI JEAN JACQUES</t>
        </is>
      </c>
      <c r="N1049" s="17" t="inlineStr">
        <is>
          <t>Chef d entreprise</t>
        </is>
      </c>
      <c r="O1049" s="18" t="inlineStr">
        <is>
          <t>24460</t>
        </is>
      </c>
    </row>
    <row r="1050" ht="20" customHeight="1">
      <c r="A1050" s="13" t="inlineStr">
        <is>
          <t>PAEA-CCISM-1049</t>
        </is>
      </c>
      <c r="B1050" s="13" t="inlineStr">
        <is>
          <t>G06571</t>
        </is>
      </c>
      <c r="C1050" s="14" t="inlineStr">
        <is>
          <t>LY RAIMANO DANIEL</t>
        </is>
      </c>
      <c r="D1050" s="14" t="inlineStr">
        <is>
          <t>98711 PAEA</t>
        </is>
      </c>
      <c r="E1050" s="14" t="inlineStr">
        <is>
          <t>Patenté (Personne Physique)</t>
        </is>
      </c>
      <c r="F1050" s="14" t="inlineStr">
        <is>
          <t>Patenté</t>
        </is>
      </c>
      <c r="G1050" s="13" t="inlineStr">
        <is>
          <t>5320Z</t>
        </is>
      </c>
      <c r="H1050" s="13" t="inlineStr">
        <is>
          <t>S</t>
        </is>
      </c>
      <c r="I1050" s="14" t="inlineStr">
        <is>
          <t>Services</t>
        </is>
      </c>
      <c r="J1050" s="15" t="n">
        <v>0</v>
      </c>
      <c r="K1050" s="15" t="n">
        <v>1</v>
      </c>
      <c r="L1050" s="14" t="inlineStr">
        <is>
          <t>25 157 A</t>
        </is>
      </c>
      <c r="M1050" s="14" t="inlineStr">
        <is>
          <t>M LY RAIMANO DANIEL</t>
        </is>
      </c>
      <c r="N1050" s="14" t="inlineStr">
        <is>
          <t>Chef d entreprise</t>
        </is>
      </c>
      <c r="O1050" s="15" t="inlineStr">
        <is>
          <t>24496</t>
        </is>
      </c>
    </row>
    <row r="1051" ht="20" customHeight="1">
      <c r="A1051" s="16" t="inlineStr">
        <is>
          <t>PAEA-CCISM-1050</t>
        </is>
      </c>
      <c r="B1051" s="16" t="inlineStr">
        <is>
          <t>F23909</t>
        </is>
      </c>
      <c r="C1051" s="17" t="inlineStr">
        <is>
          <t>M INVESTMENT</t>
        </is>
      </c>
      <c r="D1051" s="17" t="inlineStr">
        <is>
          <t>PK 21,5 CT MER - BORD DE ROUTE 98711 PAEA</t>
        </is>
      </c>
      <c r="E1051" s="17" t="inlineStr">
        <is>
          <t>SAS Unipersonnelle</t>
        </is>
      </c>
      <c r="F1051" s="17" t="inlineStr">
        <is>
          <t>Société</t>
        </is>
      </c>
      <c r="G1051" s="16" t="inlineStr">
        <is>
          <t>8211Z</t>
        </is>
      </c>
      <c r="H1051" s="16" t="inlineStr">
        <is>
          <t>S</t>
        </is>
      </c>
      <c r="I1051" s="17" t="inlineStr">
        <is>
          <t>Services</t>
        </is>
      </c>
      <c r="J1051" s="18" t="n">
        <v>2</v>
      </c>
      <c r="K1051" s="18" t="n">
        <v>1</v>
      </c>
      <c r="L1051" s="17" t="inlineStr">
        <is>
          <t>23 52 B</t>
        </is>
      </c>
      <c r="M1051" s="17" t="inlineStr">
        <is>
          <t>M IHORAI MOANA</t>
        </is>
      </c>
      <c r="N1051" s="17" t="inlineStr">
        <is>
          <t>Gérant</t>
        </is>
      </c>
      <c r="O1051" s="18" t="inlineStr">
        <is>
          <t>24512</t>
        </is>
      </c>
    </row>
    <row r="1052" ht="20" customHeight="1">
      <c r="A1052" s="13" t="inlineStr">
        <is>
          <t>PAEA-CCISM-1051</t>
        </is>
      </c>
      <c r="B1052" s="13" t="inlineStr">
        <is>
          <t>C17320</t>
        </is>
      </c>
      <c r="C1052" s="14" t="inlineStr">
        <is>
          <t>MAAMAATUAIAHUTAPU NEE TEURUA-MAITIA JESSICA, TAINA</t>
        </is>
      </c>
      <c r="D1052" s="14" t="inlineStr">
        <is>
          <t>PROPRIÉTÉ CADOUSTEAU 98711 PAEA</t>
        </is>
      </c>
      <c r="E1052" s="14" t="inlineStr">
        <is>
          <t>Patenté (Personne Physique)</t>
        </is>
      </c>
      <c r="F1052" s="14" t="inlineStr">
        <is>
          <t>Patenté</t>
        </is>
      </c>
      <c r="G1052" s="13" t="inlineStr">
        <is>
          <t>5221Z</t>
        </is>
      </c>
      <c r="H1052" s="13" t="inlineStr">
        <is>
          <t>S</t>
        </is>
      </c>
      <c r="I1052" s="14" t="inlineStr">
        <is>
          <t>Services</t>
        </is>
      </c>
      <c r="J1052" s="15" t="n">
        <v>0</v>
      </c>
      <c r="K1052" s="15" t="n">
        <v>1</v>
      </c>
      <c r="L1052" s="14" t="inlineStr">
        <is>
          <t>23 1935 A</t>
        </is>
      </c>
      <c r="M1052" s="14" t="inlineStr">
        <is>
          <t>Mme MAAMAATUAIAHUTAPU (Née TEURUA-MAITIA) JESSICA, TAINA</t>
        </is>
      </c>
      <c r="N1052" s="14" t="inlineStr">
        <is>
          <t>Chef d entreprise</t>
        </is>
      </c>
      <c r="O1052" s="15" t="inlineStr">
        <is>
          <t>24521</t>
        </is>
      </c>
    </row>
    <row r="1053" ht="20" customHeight="1">
      <c r="A1053" s="16" t="inlineStr">
        <is>
          <t>PAEA-CCISM-1052</t>
        </is>
      </c>
      <c r="B1053" s="16" t="inlineStr">
        <is>
          <t>F77517</t>
        </is>
      </c>
      <c r="C1053" s="17" t="inlineStr">
        <is>
          <t>MACHOT MARC</t>
        </is>
      </c>
      <c r="D1053" s="17" t="inlineStr">
        <is>
          <t>LOT E2 RES VAITUPA 98711 PAEA</t>
        </is>
      </c>
      <c r="E1053" s="17" t="inlineStr">
        <is>
          <t>Patenté (Personne Physique)</t>
        </is>
      </c>
      <c r="F1053" s="17" t="inlineStr">
        <is>
          <t>Patenté</t>
        </is>
      </c>
      <c r="G1053" s="16" t="inlineStr">
        <is>
          <t>5520Z</t>
        </is>
      </c>
      <c r="H1053" s="16" t="inlineStr">
        <is>
          <t>S</t>
        </is>
      </c>
      <c r="I1053" s="17" t="inlineStr">
        <is>
          <t>Services</t>
        </is>
      </c>
      <c r="J1053" s="18" t="n">
        <v>0</v>
      </c>
      <c r="K1053" s="18" t="n">
        <v>1</v>
      </c>
      <c r="L1053" s="17" t="inlineStr">
        <is>
          <t>24 736 A</t>
        </is>
      </c>
      <c r="M1053" s="17" t="inlineStr">
        <is>
          <t>M MACHOT MARC</t>
        </is>
      </c>
      <c r="N1053" s="17" t="inlineStr">
        <is>
          <t>Chef d entreprise</t>
        </is>
      </c>
      <c r="O1053" s="18" t="inlineStr">
        <is>
          <t>24535</t>
        </is>
      </c>
    </row>
    <row r="1054" ht="20" customHeight="1">
      <c r="A1054" s="13" t="inlineStr">
        <is>
          <t>PAEA-CCISM-1053</t>
        </is>
      </c>
      <c r="B1054" s="13" t="inlineStr">
        <is>
          <t>829937</t>
        </is>
      </c>
      <c r="C1054" s="14" t="inlineStr">
        <is>
          <t>MAGNES JEAN-FRANCOIS</t>
        </is>
      </c>
      <c r="D1054" s="14" t="inlineStr">
        <is>
          <t>98711 PAEA</t>
        </is>
      </c>
      <c r="E1054" s="14" t="inlineStr">
        <is>
          <t>Patenté (Personne Physique)</t>
        </is>
      </c>
      <c r="F1054" s="14" t="inlineStr">
        <is>
          <t>Patenté</t>
        </is>
      </c>
      <c r="G1054" s="13" t="inlineStr">
        <is>
          <t>7711A</t>
        </is>
      </c>
      <c r="H1054" s="13" t="inlineStr">
        <is>
          <t>S</t>
        </is>
      </c>
      <c r="I1054" s="14" t="inlineStr">
        <is>
          <t>Services</t>
        </is>
      </c>
      <c r="J1054" s="15" t="n">
        <v>0</v>
      </c>
      <c r="K1054" s="15" t="n">
        <v>1</v>
      </c>
      <c r="L1054" s="14" t="inlineStr">
        <is>
          <t>15 817 A</t>
        </is>
      </c>
      <c r="M1054" s="14" t="inlineStr">
        <is>
          <t>M MAGNES JEAN-FRANCOIS</t>
        </is>
      </c>
      <c r="N1054" s="14" t="inlineStr">
        <is>
          <t>Chef d entreprise</t>
        </is>
      </c>
      <c r="O1054" s="15" t="inlineStr">
        <is>
          <t>24562</t>
        </is>
      </c>
    </row>
    <row r="1055" ht="20" customHeight="1">
      <c r="A1055" s="16" t="inlineStr">
        <is>
          <t>PAEA-CCISM-1054</t>
        </is>
      </c>
      <c r="B1055" s="16" t="inlineStr">
        <is>
          <t>440826</t>
        </is>
      </c>
      <c r="C1055" s="17" t="inlineStr">
        <is>
          <t>MAHANA RAYMOND ROBERT</t>
        </is>
      </c>
      <c r="D1055" s="17" t="inlineStr">
        <is>
          <t>PAEA PK 18.200 C/MER 98711 PAEA</t>
        </is>
      </c>
      <c r="E1055" s="17" t="inlineStr">
        <is>
          <t>Patenté (Personne Physique)</t>
        </is>
      </c>
      <c r="F1055" s="17" t="inlineStr">
        <is>
          <t>Patenté</t>
        </is>
      </c>
      <c r="G1055" s="16" t="inlineStr">
        <is>
          <t>8790B</t>
        </is>
      </c>
      <c r="H1055" s="16" t="inlineStr">
        <is>
          <t>S</t>
        </is>
      </c>
      <c r="I1055" s="17" t="inlineStr">
        <is>
          <t>Services</t>
        </is>
      </c>
      <c r="J1055" s="18" t="n">
        <v>0</v>
      </c>
      <c r="K1055" s="18" t="n">
        <v>1</v>
      </c>
      <c r="L1055" s="17" t="inlineStr">
        <is>
          <t>12 2038 A</t>
        </is>
      </c>
      <c r="M1055" s="17" t="inlineStr">
        <is>
          <t>M MAHANA RAYMOND ROBERT</t>
        </is>
      </c>
      <c r="N1055" s="17" t="inlineStr">
        <is>
          <t>Chef d entreprise</t>
        </is>
      </c>
      <c r="O1055" s="18" t="inlineStr">
        <is>
          <t>24575</t>
        </is>
      </c>
    </row>
    <row r="1056" ht="20" customHeight="1">
      <c r="A1056" s="13" t="inlineStr">
        <is>
          <t>PAEA-CCISM-1055</t>
        </is>
      </c>
      <c r="B1056" s="13" t="inlineStr">
        <is>
          <t>633313</t>
        </is>
      </c>
      <c r="C1056" s="14" t="inlineStr">
        <is>
          <t>MAHATIA HELENE, TEPIUVAHINE</t>
        </is>
      </c>
      <c r="D1056" s="14" t="inlineStr">
        <is>
          <t>RTE DE LA VALLEE OROFERO 98711 PAEA</t>
        </is>
      </c>
      <c r="E1056" s="14" t="inlineStr">
        <is>
          <t>Patenté (Personne Physique)</t>
        </is>
      </c>
      <c r="F1056" s="14" t="inlineStr">
        <is>
          <t>Patenté</t>
        </is>
      </c>
      <c r="G1056" s="13" t="inlineStr">
        <is>
          <t>8810A</t>
        </is>
      </c>
      <c r="H1056" s="13" t="inlineStr">
        <is>
          <t>S</t>
        </is>
      </c>
      <c r="I1056" s="14" t="inlineStr">
        <is>
          <t>Services</t>
        </is>
      </c>
      <c r="J1056" s="15" t="n">
        <v>0</v>
      </c>
      <c r="K1056" s="15" t="n">
        <v>1</v>
      </c>
      <c r="L1056" s="14" t="inlineStr">
        <is>
          <t>20 63 A</t>
        </is>
      </c>
      <c r="M1056" s="14" t="inlineStr">
        <is>
          <t>Mme MAHATIA HELENE, TEPIUVAHINE</t>
        </is>
      </c>
      <c r="N1056" s="14" t="inlineStr">
        <is>
          <t>Chef d entreprise</t>
        </is>
      </c>
      <c r="O1056" s="15" t="inlineStr">
        <is>
          <t>24588</t>
        </is>
      </c>
    </row>
    <row r="1057" ht="20" customHeight="1">
      <c r="A1057" s="16" t="inlineStr">
        <is>
          <t>PAEA-CCISM-1056</t>
        </is>
      </c>
      <c r="B1057" s="16" t="inlineStr">
        <is>
          <t>340109</t>
        </is>
      </c>
      <c r="C1057" s="17" t="inlineStr">
        <is>
          <t>MAIFANO PAUL TEATA</t>
        </is>
      </c>
      <c r="D1057" s="17" t="inlineStr">
        <is>
          <t>3 RTE LOTISSEMENT TEPUHAPA 98711 PAEA</t>
        </is>
      </c>
      <c r="E1057" s="17" t="inlineStr">
        <is>
          <t>Patenté (Personne Physique)</t>
        </is>
      </c>
      <c r="F1057" s="17" t="inlineStr">
        <is>
          <t>Patenté</t>
        </is>
      </c>
      <c r="G1057" s="16" t="inlineStr">
        <is>
          <t>8129B</t>
        </is>
      </c>
      <c r="H1057" s="16" t="inlineStr">
        <is>
          <t>S</t>
        </is>
      </c>
      <c r="I1057" s="17" t="inlineStr">
        <is>
          <t>Services</t>
        </is>
      </c>
      <c r="J1057" s="18" t="n">
        <v>0</v>
      </c>
      <c r="K1057" s="18" t="n">
        <v>1</v>
      </c>
      <c r="L1057" s="17" t="inlineStr">
        <is>
          <t>23 3426 A</t>
        </is>
      </c>
      <c r="M1057" s="17" t="inlineStr">
        <is>
          <t>M MAIFANO PAUL TEATA</t>
        </is>
      </c>
      <c r="N1057" s="17" t="inlineStr">
        <is>
          <t>Chef d entreprise</t>
        </is>
      </c>
      <c r="O1057" s="18" t="inlineStr">
        <is>
          <t>24648</t>
        </is>
      </c>
    </row>
    <row r="1058" ht="20" customHeight="1">
      <c r="A1058" s="13" t="inlineStr">
        <is>
          <t>PAEA-CCISM-1057</t>
        </is>
      </c>
      <c r="B1058" s="13" t="inlineStr">
        <is>
          <t>F05831</t>
        </is>
      </c>
      <c r="C1058" s="14" t="inlineStr">
        <is>
          <t>MAIFANO PUROTU SANDRINE EPY</t>
        </is>
      </c>
      <c r="D1058" s="14" t="inlineStr">
        <is>
          <t>3 RTE LOTISSEMENT TEPUHAPA 98711 PAEA</t>
        </is>
      </c>
      <c r="E1058" s="14" t="inlineStr">
        <is>
          <t>Patenté (Personne Physique)</t>
        </is>
      </c>
      <c r="F1058" s="14" t="inlineStr">
        <is>
          <t>Patenté</t>
        </is>
      </c>
      <c r="G1058" s="13" t="inlineStr">
        <is>
          <t>8810A</t>
        </is>
      </c>
      <c r="H1058" s="13" t="inlineStr">
        <is>
          <t>S</t>
        </is>
      </c>
      <c r="I1058" s="14" t="inlineStr">
        <is>
          <t>Services</t>
        </is>
      </c>
      <c r="J1058" s="15" t="n">
        <v>0</v>
      </c>
      <c r="K1058" s="15" t="n">
        <v>1</v>
      </c>
      <c r="L1058" s="14" t="inlineStr">
        <is>
          <t>22 3121 A</t>
        </is>
      </c>
      <c r="M1058" s="14" t="inlineStr">
        <is>
          <t>Mme MAIFANO PUROTU SANDRINE EPY</t>
        </is>
      </c>
      <c r="N1058" s="14" t="inlineStr">
        <is>
          <t>Chef d entreprise</t>
        </is>
      </c>
      <c r="O1058" s="15" t="inlineStr">
        <is>
          <t>24649</t>
        </is>
      </c>
    </row>
    <row r="1059" ht="20" customHeight="1">
      <c r="A1059" s="16" t="inlineStr">
        <is>
          <t>PAEA-CCISM-1058</t>
        </is>
      </c>
      <c r="B1059" s="16" t="inlineStr">
        <is>
          <t>F09023</t>
        </is>
      </c>
      <c r="C1059" s="17" t="inlineStr">
        <is>
          <t>MAIROTO HEREMOANA</t>
        </is>
      </c>
      <c r="D1059" s="17" t="inlineStr">
        <is>
          <t>VALLEE OROFERO SERVITUDE TEORE 98711 PAEA</t>
        </is>
      </c>
      <c r="E1059" s="17" t="inlineStr">
        <is>
          <t>Patenté (Personne Physique)</t>
        </is>
      </c>
      <c r="F1059" s="17" t="inlineStr">
        <is>
          <t>Patenté</t>
        </is>
      </c>
      <c r="G1059" s="16" t="inlineStr">
        <is>
          <t>5320Z</t>
        </is>
      </c>
      <c r="H1059" s="16" t="inlineStr">
        <is>
          <t>S</t>
        </is>
      </c>
      <c r="I1059" s="17" t="inlineStr">
        <is>
          <t>Services</t>
        </is>
      </c>
      <c r="J1059" s="18" t="n">
        <v>0</v>
      </c>
      <c r="K1059" s="18" t="n">
        <v>1</v>
      </c>
      <c r="L1059" s="17" t="inlineStr">
        <is>
          <t>23 2302 A</t>
        </is>
      </c>
      <c r="M1059" s="17" t="inlineStr">
        <is>
          <t>Mme MAIROTO HEREMOANA</t>
        </is>
      </c>
      <c r="N1059" s="17" t="inlineStr">
        <is>
          <t>Chef d entreprise</t>
        </is>
      </c>
      <c r="O1059" s="18" t="inlineStr">
        <is>
          <t>24694</t>
        </is>
      </c>
    </row>
    <row r="1060" ht="20" customHeight="1">
      <c r="A1060" s="13" t="inlineStr">
        <is>
          <t>PAEA-CCISM-1059</t>
        </is>
      </c>
      <c r="B1060" s="13" t="inlineStr">
        <is>
          <t>B68580</t>
        </is>
      </c>
      <c r="C1060" s="14" t="inlineStr">
        <is>
          <t>MANATE-MARAETAATA GWENDOLINE</t>
        </is>
      </c>
      <c r="D1060" s="14" t="inlineStr">
        <is>
          <t>LOTISS PAPEHUE SECTION AA36 98711 PAEA</t>
        </is>
      </c>
      <c r="E1060" s="14" t="inlineStr">
        <is>
          <t>Patenté (Personne Physique)</t>
        </is>
      </c>
      <c r="F1060" s="14" t="inlineStr">
        <is>
          <t>Patenté</t>
        </is>
      </c>
      <c r="G1060" s="13" t="inlineStr">
        <is>
          <t>6820B</t>
        </is>
      </c>
      <c r="H1060" s="13" t="inlineStr">
        <is>
          <t>S</t>
        </is>
      </c>
      <c r="I1060" s="14" t="inlineStr">
        <is>
          <t>Services</t>
        </is>
      </c>
      <c r="J1060" s="15" t="n">
        <v>0</v>
      </c>
      <c r="K1060" s="15" t="n">
        <v>1</v>
      </c>
      <c r="L1060" s="14" t="inlineStr">
        <is>
          <t>21 3253 A</t>
        </is>
      </c>
      <c r="M1060" s="14" t="inlineStr">
        <is>
          <t>Mme MANATE-MARAETAATA GWENDOLINE</t>
        </is>
      </c>
      <c r="N1060" s="14" t="inlineStr">
        <is>
          <t>Chef d entreprise</t>
        </is>
      </c>
      <c r="O1060" s="15" t="inlineStr">
        <is>
          <t>24840</t>
        </is>
      </c>
    </row>
    <row r="1061" ht="20" customHeight="1">
      <c r="A1061" s="16" t="inlineStr">
        <is>
          <t>PAEA-CCISM-1060</t>
        </is>
      </c>
      <c r="B1061" s="16" t="inlineStr">
        <is>
          <t>F29641</t>
        </is>
      </c>
      <c r="C1061" s="17" t="inlineStr">
        <is>
          <t>MANUEL MOEATA</t>
        </is>
      </c>
      <c r="D1061" s="17" t="inlineStr">
        <is>
          <t>VALLEE PAPEHUE 98711 PAEA</t>
        </is>
      </c>
      <c r="E1061" s="17" t="inlineStr">
        <is>
          <t>Patenté (Personne Physique)</t>
        </is>
      </c>
      <c r="F1061" s="17" t="inlineStr">
        <is>
          <t>Patenté</t>
        </is>
      </c>
      <c r="G1061" s="16" t="inlineStr">
        <is>
          <t>5520Z</t>
        </is>
      </c>
      <c r="H1061" s="16" t="inlineStr">
        <is>
          <t>S</t>
        </is>
      </c>
      <c r="I1061" s="17" t="inlineStr">
        <is>
          <t>Services</t>
        </is>
      </c>
      <c r="J1061" s="18" t="n">
        <v>0</v>
      </c>
      <c r="K1061" s="18" t="n">
        <v>1</v>
      </c>
      <c r="L1061" s="17" t="inlineStr">
        <is>
          <t>23 1730 A</t>
        </is>
      </c>
      <c r="M1061" s="17" t="inlineStr">
        <is>
          <t>Mme MANUEL MOEATA</t>
        </is>
      </c>
      <c r="N1061" s="17" t="inlineStr">
        <is>
          <t>Chef d entreprise</t>
        </is>
      </c>
      <c r="O1061" s="18" t="inlineStr">
        <is>
          <t>24877</t>
        </is>
      </c>
    </row>
    <row r="1062" ht="20" customHeight="1">
      <c r="A1062" s="13" t="inlineStr">
        <is>
          <t>PAEA-CCISM-1061</t>
        </is>
      </c>
      <c r="B1062" s="13" t="inlineStr">
        <is>
          <t>G12694</t>
        </is>
      </c>
      <c r="C1062" s="14" t="inlineStr">
        <is>
          <t>MANUTAHI JEMIMA</t>
        </is>
      </c>
      <c r="D1062" s="14" t="inlineStr">
        <is>
          <t>RES VAITUPA 2 LGT N° 41 98711 PAEA</t>
        </is>
      </c>
      <c r="E1062" s="14" t="inlineStr">
        <is>
          <t>Patenté (Personne Physique)</t>
        </is>
      </c>
      <c r="F1062" s="14" t="inlineStr">
        <is>
          <t>Patenté</t>
        </is>
      </c>
      <c r="G1062" s="13" t="inlineStr">
        <is>
          <t>8810A</t>
        </is>
      </c>
      <c r="H1062" s="13" t="inlineStr">
        <is>
          <t>S</t>
        </is>
      </c>
      <c r="I1062" s="14" t="inlineStr">
        <is>
          <t>Services</t>
        </is>
      </c>
      <c r="J1062" s="15" t="n">
        <v>0</v>
      </c>
      <c r="K1062" s="15" t="n">
        <v>1</v>
      </c>
      <c r="L1062" s="14" t="inlineStr">
        <is>
          <t>25 406 A</t>
        </is>
      </c>
      <c r="M1062" s="14" t="inlineStr">
        <is>
          <t>Mme MANUTAHI JEMIMA</t>
        </is>
      </c>
      <c r="N1062" s="14" t="inlineStr">
        <is>
          <t>Chef d entreprise</t>
        </is>
      </c>
      <c r="O1062" s="15" t="inlineStr">
        <is>
          <t>24889</t>
        </is>
      </c>
    </row>
    <row r="1063" ht="20" customHeight="1">
      <c r="A1063" s="16" t="inlineStr">
        <is>
          <t>PAEA-CCISM-1062</t>
        </is>
      </c>
      <c r="B1063" s="16" t="inlineStr">
        <is>
          <t>934083</t>
        </is>
      </c>
      <c r="C1063" s="17" t="inlineStr">
        <is>
          <t>MANUTAHI TEIVA GLENN</t>
        </is>
      </c>
      <c r="D1063" s="17" t="inlineStr">
        <is>
          <t>SERV. PUHANA 98711 PAEA</t>
        </is>
      </c>
      <c r="E1063" s="17" t="inlineStr">
        <is>
          <t>Patenté (Personne Physique)</t>
        </is>
      </c>
      <c r="F1063" s="17" t="inlineStr">
        <is>
          <t>Patenté</t>
        </is>
      </c>
      <c r="G1063" s="16" t="inlineStr">
        <is>
          <t>9329Z</t>
        </is>
      </c>
      <c r="H1063" s="16" t="inlineStr">
        <is>
          <t>S</t>
        </is>
      </c>
      <c r="I1063" s="17" t="inlineStr">
        <is>
          <t>Services</t>
        </is>
      </c>
      <c r="J1063" s="18" t="n">
        <v>0</v>
      </c>
      <c r="K1063" s="18" t="n">
        <v>1</v>
      </c>
      <c r="L1063" s="17" t="inlineStr">
        <is>
          <t>13 2162 A</t>
        </is>
      </c>
      <c r="M1063" s="17" t="inlineStr">
        <is>
          <t>M MANUTAHI TEIVA GLENN</t>
        </is>
      </c>
      <c r="N1063" s="17" t="inlineStr">
        <is>
          <t>Chef d entreprise</t>
        </is>
      </c>
      <c r="O1063" s="18" t="inlineStr">
        <is>
          <t>24896</t>
        </is>
      </c>
    </row>
    <row r="1064" ht="20" customHeight="1">
      <c r="A1064" s="13" t="inlineStr">
        <is>
          <t>PAEA-CCISM-1063</t>
        </is>
      </c>
      <c r="B1064" s="13" t="inlineStr">
        <is>
          <t>222059</t>
        </is>
      </c>
      <c r="C1064" s="14" t="inlineStr">
        <is>
          <t>MAONI TERAUTAHI TOM</t>
        </is>
      </c>
      <c r="D1064" s="14" t="inlineStr">
        <is>
          <t>VAL DE OROFERO 98711 PAEA</t>
        </is>
      </c>
      <c r="E1064" s="14" t="inlineStr">
        <is>
          <t>Patenté (Personne Physique)</t>
        </is>
      </c>
      <c r="F1064" s="14" t="inlineStr">
        <is>
          <t>Patenté</t>
        </is>
      </c>
      <c r="G1064" s="13" t="inlineStr">
        <is>
          <t>8030Z</t>
        </is>
      </c>
      <c r="H1064" s="13" t="inlineStr">
        <is>
          <t>S</t>
        </is>
      </c>
      <c r="I1064" s="14" t="inlineStr">
        <is>
          <t>Services</t>
        </is>
      </c>
      <c r="J1064" s="15" t="n">
        <v>0</v>
      </c>
      <c r="K1064" s="15" t="n">
        <v>1</v>
      </c>
      <c r="L1064" s="14" t="inlineStr"/>
      <c r="M1064" s="14" t="inlineStr">
        <is>
          <t>18286 A</t>
        </is>
      </c>
      <c r="N1064" s="14" t="inlineStr"/>
      <c r="O1064" s="15" t="inlineStr"/>
    </row>
    <row r="1065" ht="20" customHeight="1">
      <c r="A1065" s="16" t="inlineStr">
        <is>
          <t>PAEA-CCISM-1064</t>
        </is>
      </c>
      <c r="B1065" s="16" t="inlineStr">
        <is>
          <t>993147</t>
        </is>
      </c>
      <c r="C1065" s="17" t="inlineStr">
        <is>
          <t>MAOPI RAHITI</t>
        </is>
      </c>
      <c r="D1065" s="17" t="inlineStr">
        <is>
          <t>PAEA PK 19 C/MONT - MONTARON 98711 PAEA</t>
        </is>
      </c>
      <c r="E1065" s="17" t="inlineStr">
        <is>
          <t>Patenté (Personne Physique)</t>
        </is>
      </c>
      <c r="F1065" s="17" t="inlineStr">
        <is>
          <t>Patenté</t>
        </is>
      </c>
      <c r="G1065" s="16" t="inlineStr">
        <is>
          <t>9001Z</t>
        </is>
      </c>
      <c r="H1065" s="16" t="inlineStr">
        <is>
          <t>S</t>
        </is>
      </c>
      <c r="I1065" s="17" t="inlineStr">
        <is>
          <t>Services</t>
        </is>
      </c>
      <c r="J1065" s="18" t="n">
        <v>0</v>
      </c>
      <c r="K1065" s="18" t="n">
        <v>1</v>
      </c>
      <c r="L1065" s="17" t="inlineStr">
        <is>
          <t>11 1320 A</t>
        </is>
      </c>
      <c r="M1065" s="17" t="inlineStr">
        <is>
          <t>M MAOPI RAHITI</t>
        </is>
      </c>
      <c r="N1065" s="17" t="inlineStr">
        <is>
          <t>Chef d entreprise 24924 SERVICE</t>
        </is>
      </c>
      <c r="O1065" s="18" t="inlineStr"/>
    </row>
    <row r="1066" ht="20" customHeight="1">
      <c r="A1066" s="13" t="inlineStr">
        <is>
          <t>PAEA-CCISM-1065</t>
        </is>
      </c>
      <c r="B1066" s="13" t="inlineStr">
        <is>
          <t>505875</t>
        </is>
      </c>
      <c r="C1066" s="14" t="inlineStr">
        <is>
          <t>MARAETEFAU FLORIDA GINETTE LEIYANI</t>
        </is>
      </c>
      <c r="D1066" s="14" t="inlineStr">
        <is>
          <t>PAEA PK 20.300 C/CPS N[11 98711 PAEA</t>
        </is>
      </c>
      <c r="E1066" s="14" t="inlineStr">
        <is>
          <t>Patenté (Personne Physique)</t>
        </is>
      </c>
      <c r="F1066" s="14" t="inlineStr">
        <is>
          <t>Patenté</t>
        </is>
      </c>
      <c r="G1066" s="13" t="inlineStr">
        <is>
          <t>5320Z</t>
        </is>
      </c>
      <c r="H1066" s="13" t="inlineStr">
        <is>
          <t>S</t>
        </is>
      </c>
      <c r="I1066" s="14" t="inlineStr">
        <is>
          <t>Services</t>
        </is>
      </c>
      <c r="J1066" s="15" t="n">
        <v>0</v>
      </c>
      <c r="K1066" s="15" t="n">
        <v>1</v>
      </c>
      <c r="L1066" s="14" t="inlineStr">
        <is>
          <t>34846 A</t>
        </is>
      </c>
      <c r="M1066" s="14" t="inlineStr">
        <is>
          <t>Mme MARAETEFAU FLORIDA GINETTE LEIYANI</t>
        </is>
      </c>
      <c r="N1066" s="14" t="inlineStr">
        <is>
          <t>Chef d entreprise</t>
        </is>
      </c>
      <c r="O1066" s="15" t="inlineStr">
        <is>
          <t>24942</t>
        </is>
      </c>
    </row>
    <row r="1067" ht="20" customHeight="1">
      <c r="A1067" s="16" t="inlineStr">
        <is>
          <t>PAEA-CCISM-1066</t>
        </is>
      </c>
      <c r="B1067" s="16" t="inlineStr">
        <is>
          <t>B58854</t>
        </is>
      </c>
      <c r="C1067" s="17" t="inlineStr">
        <is>
          <t>MARAKAI BENJAMIN</t>
        </is>
      </c>
      <c r="D1067" s="17" t="inlineStr">
        <is>
          <t>RTE DE LA VALLEE OROFERO 98711 PAEA</t>
        </is>
      </c>
      <c r="E1067" s="17" t="inlineStr">
        <is>
          <t>Patenté (Personne Physique)</t>
        </is>
      </c>
      <c r="F1067" s="17" t="inlineStr">
        <is>
          <t>Patenté</t>
        </is>
      </c>
      <c r="G1067" s="16" t="inlineStr">
        <is>
          <t>8730A</t>
        </is>
      </c>
      <c r="H1067" s="16" t="inlineStr">
        <is>
          <t>S</t>
        </is>
      </c>
      <c r="I1067" s="17" t="inlineStr">
        <is>
          <t>Services</t>
        </is>
      </c>
      <c r="J1067" s="18" t="n">
        <v>0</v>
      </c>
      <c r="K1067" s="18" t="n">
        <v>1</v>
      </c>
      <c r="L1067" s="17" t="inlineStr">
        <is>
          <t>15 1746 A</t>
        </is>
      </c>
      <c r="M1067" s="17" t="inlineStr">
        <is>
          <t>M MARAKAI BENJAMIN</t>
        </is>
      </c>
      <c r="N1067" s="17" t="inlineStr">
        <is>
          <t>Chef d entreprise</t>
        </is>
      </c>
      <c r="O1067" s="18" t="inlineStr">
        <is>
          <t>24949</t>
        </is>
      </c>
    </row>
    <row r="1068" ht="20" customHeight="1">
      <c r="A1068" s="13" t="inlineStr">
        <is>
          <t>PAEA-CCISM-1067</t>
        </is>
      </c>
      <c r="B1068" s="13" t="inlineStr">
        <is>
          <t>G06860</t>
        </is>
      </c>
      <c r="C1068" s="14" t="inlineStr">
        <is>
          <t>MARAKAI VAINIU</t>
        </is>
      </c>
      <c r="D1068" s="14" t="inlineStr">
        <is>
          <t>VALLEE DE OROFERO 98711 PAEA</t>
        </is>
      </c>
      <c r="E1068" s="14" t="inlineStr">
        <is>
          <t>Patenté (Personne Physique)</t>
        </is>
      </c>
      <c r="F1068" s="14" t="inlineStr">
        <is>
          <t>Patenté</t>
        </is>
      </c>
      <c r="G1068" s="13" t="inlineStr">
        <is>
          <t>8810A</t>
        </is>
      </c>
      <c r="H1068" s="13" t="inlineStr">
        <is>
          <t>S</t>
        </is>
      </c>
      <c r="I1068" s="14" t="inlineStr">
        <is>
          <t>Services</t>
        </is>
      </c>
      <c r="J1068" s="15" t="n">
        <v>0</v>
      </c>
      <c r="K1068" s="15" t="n">
        <v>1</v>
      </c>
      <c r="L1068" s="14" t="inlineStr">
        <is>
          <t>25 138 A</t>
        </is>
      </c>
      <c r="M1068" s="14" t="inlineStr">
        <is>
          <t>Mme MARAKAI VAINIU</t>
        </is>
      </c>
      <c r="N1068" s="14" t="inlineStr">
        <is>
          <t>Chef d entreprise</t>
        </is>
      </c>
      <c r="O1068" s="15" t="inlineStr">
        <is>
          <t>24950</t>
        </is>
      </c>
    </row>
    <row r="1069" ht="20" customHeight="1">
      <c r="A1069" s="16" t="inlineStr">
        <is>
          <t>PAEA-CCISM-1068</t>
        </is>
      </c>
      <c r="B1069" s="16" t="inlineStr">
        <is>
          <t>E42075</t>
        </is>
      </c>
      <c r="C1069" s="17" t="inlineStr">
        <is>
          <t>MARAMA LOCATION</t>
        </is>
      </c>
      <c r="D1069" s="17" t="inlineStr">
        <is>
          <t>PK 25.600 CÔTÉ MONTAGNE 98711 PAEA</t>
        </is>
      </c>
      <c r="E1069" s="17" t="inlineStr">
        <is>
          <t>SARL</t>
        </is>
      </c>
      <c r="F1069" s="17" t="inlineStr">
        <is>
          <t>Société</t>
        </is>
      </c>
      <c r="G1069" s="16" t="inlineStr">
        <is>
          <t>7711A</t>
        </is>
      </c>
      <c r="H1069" s="16" t="inlineStr">
        <is>
          <t>S</t>
        </is>
      </c>
      <c r="I1069" s="17" t="inlineStr">
        <is>
          <t>Services</t>
        </is>
      </c>
      <c r="J1069" s="18" t="n">
        <v>0</v>
      </c>
      <c r="K1069" s="18" t="n">
        <v>1</v>
      </c>
      <c r="L1069" s="17" t="inlineStr">
        <is>
          <t>22 80 A</t>
        </is>
      </c>
      <c r="M1069" s="17" t="inlineStr">
        <is>
          <t>Mme TEFAATAUMARAMA (Née TEUAPIKO) SYLVIA</t>
        </is>
      </c>
      <c r="N1069" s="17" t="inlineStr">
        <is>
          <t>Gérant et associé indéfiniment responsa</t>
        </is>
      </c>
      <c r="O1069" s="18" t="inlineStr">
        <is>
          <t>24959</t>
        </is>
      </c>
    </row>
    <row r="1070" ht="20" customHeight="1">
      <c r="A1070" s="13" t="inlineStr">
        <is>
          <t>PAEA-CCISM-1069</t>
        </is>
      </c>
      <c r="B1070" s="13" t="inlineStr">
        <is>
          <t>955088</t>
        </is>
      </c>
      <c r="C1070" s="14" t="inlineStr">
        <is>
          <t>MARCINKOWSKI MELISSA</t>
        </is>
      </c>
      <c r="D1070" s="14" t="inlineStr">
        <is>
          <t>98711 PAEA</t>
        </is>
      </c>
      <c r="E1070" s="14" t="inlineStr">
        <is>
          <t>Patenté (Personne Physique)</t>
        </is>
      </c>
      <c r="F1070" s="14" t="inlineStr">
        <is>
          <t>Patenté</t>
        </is>
      </c>
      <c r="G1070" s="13" t="inlineStr">
        <is>
          <t>8230Z</t>
        </is>
      </c>
      <c r="H1070" s="13" t="inlineStr">
        <is>
          <t>S</t>
        </is>
      </c>
      <c r="I1070" s="14" t="inlineStr">
        <is>
          <t>Services</t>
        </is>
      </c>
      <c r="J1070" s="15" t="n">
        <v>0</v>
      </c>
      <c r="K1070" s="15" t="n">
        <v>1</v>
      </c>
      <c r="L1070" s="14" t="inlineStr">
        <is>
          <t>17 552 A</t>
        </is>
      </c>
      <c r="M1070" s="14" t="inlineStr">
        <is>
          <t>Mme MARCINKOWSKI MELISSA</t>
        </is>
      </c>
      <c r="N1070" s="14" t="inlineStr">
        <is>
          <t>Chef d entreprise</t>
        </is>
      </c>
      <c r="O1070" s="15" t="inlineStr">
        <is>
          <t>24984</t>
        </is>
      </c>
    </row>
    <row r="1071" ht="20" customHeight="1">
      <c r="A1071" s="16" t="inlineStr">
        <is>
          <t>PAEA-CCISM-1070</t>
        </is>
      </c>
      <c r="B1071" s="16" t="inlineStr">
        <is>
          <t>922054</t>
        </is>
      </c>
      <c r="C1071" s="17" t="inlineStr">
        <is>
          <t>MARION ANNE-CHARLOTTE</t>
        </is>
      </c>
      <c r="D1071" s="17" t="inlineStr">
        <is>
          <t>98711 PAEA</t>
        </is>
      </c>
      <c r="E1071" s="17" t="inlineStr">
        <is>
          <t>Patenté (Personne Physique)</t>
        </is>
      </c>
      <c r="F1071" s="17" t="inlineStr">
        <is>
          <t>Patenté</t>
        </is>
      </c>
      <c r="G1071" s="16" t="inlineStr">
        <is>
          <t>7410Z</t>
        </is>
      </c>
      <c r="H1071" s="16" t="inlineStr">
        <is>
          <t>S</t>
        </is>
      </c>
      <c r="I1071" s="17" t="inlineStr">
        <is>
          <t>Services</t>
        </is>
      </c>
      <c r="J1071" s="18" t="n">
        <v>0</v>
      </c>
      <c r="K1071" s="18" t="n">
        <v>1</v>
      </c>
      <c r="L1071" s="17" t="inlineStr">
        <is>
          <t>19 2239 A</t>
        </is>
      </c>
      <c r="M1071" s="17" t="inlineStr">
        <is>
          <t>Mme MARION ANNE-CHARLOTTE</t>
        </is>
      </c>
      <c r="N1071" s="17" t="inlineStr">
        <is>
          <t>Chef d entreprise</t>
        </is>
      </c>
      <c r="O1071" s="18" t="inlineStr">
        <is>
          <t>25027</t>
        </is>
      </c>
    </row>
    <row r="1072" ht="20" customHeight="1">
      <c r="A1072" s="13" t="inlineStr">
        <is>
          <t>PAEA-CCISM-1071</t>
        </is>
      </c>
      <c r="B1072" s="13" t="inlineStr">
        <is>
          <t>D67299</t>
        </is>
      </c>
      <c r="C1072" s="14" t="inlineStr">
        <is>
          <t>MAROAUNUI TEVAI</t>
        </is>
      </c>
      <c r="D1072" s="14" t="inlineStr">
        <is>
          <t>RTE DE LA VALLEE OROFERO 98711 PAEA</t>
        </is>
      </c>
      <c r="E1072" s="14" t="inlineStr">
        <is>
          <t>Patenté (Personne Physique)</t>
        </is>
      </c>
      <c r="F1072" s="14" t="inlineStr">
        <is>
          <t>Patenté</t>
        </is>
      </c>
      <c r="G1072" s="13" t="inlineStr">
        <is>
          <t>9604Z</t>
        </is>
      </c>
      <c r="H1072" s="13" t="inlineStr">
        <is>
          <t>S</t>
        </is>
      </c>
      <c r="I1072" s="14" t="inlineStr">
        <is>
          <t>Services</t>
        </is>
      </c>
      <c r="J1072" s="15" t="n">
        <v>0</v>
      </c>
      <c r="K1072" s="15" t="n">
        <v>1</v>
      </c>
      <c r="L1072" s="14" t="inlineStr">
        <is>
          <t>20 711 A</t>
        </is>
      </c>
      <c r="M1072" s="14" t="inlineStr">
        <is>
          <t>M MAROAUNUI TEVAI</t>
        </is>
      </c>
      <c r="N1072" s="14" t="inlineStr">
        <is>
          <t>Chef d entreprise</t>
        </is>
      </c>
      <c r="O1072" s="15" t="inlineStr">
        <is>
          <t>25050</t>
        </is>
      </c>
    </row>
    <row r="1073" ht="20" customHeight="1">
      <c r="A1073" s="16" t="inlineStr">
        <is>
          <t>PAEA-CCISM-1072</t>
        </is>
      </c>
      <c r="B1073" s="16" t="inlineStr">
        <is>
          <t>C15407</t>
        </is>
      </c>
      <c r="C1073" s="17" t="inlineStr">
        <is>
          <t>MAROLLEAU VINCENT ROMAIN</t>
        </is>
      </c>
      <c r="D1073" s="17" t="inlineStr">
        <is>
          <t>98711 PAEA</t>
        </is>
      </c>
      <c r="E1073" s="17" t="inlineStr">
        <is>
          <t>Patenté (Personne Physique)</t>
        </is>
      </c>
      <c r="F1073" s="17" t="inlineStr">
        <is>
          <t>Patenté</t>
        </is>
      </c>
      <c r="G1073" s="16" t="inlineStr">
        <is>
          <t>7490B</t>
        </is>
      </c>
      <c r="H1073" s="16" t="inlineStr">
        <is>
          <t>S</t>
        </is>
      </c>
      <c r="I1073" s="17" t="inlineStr">
        <is>
          <t>Services</t>
        </is>
      </c>
      <c r="J1073" s="18" t="n">
        <v>0</v>
      </c>
      <c r="K1073" s="18" t="n">
        <v>1</v>
      </c>
      <c r="L1073" s="17" t="inlineStr">
        <is>
          <t>16 2584 A</t>
        </is>
      </c>
      <c r="M1073" s="17" t="inlineStr">
        <is>
          <t>M MAROLLEAU VINCENT ROMAIN</t>
        </is>
      </c>
      <c r="N1073" s="17" t="inlineStr">
        <is>
          <t>Chef d entreprise</t>
        </is>
      </c>
      <c r="O1073" s="18" t="inlineStr">
        <is>
          <t>25051</t>
        </is>
      </c>
    </row>
    <row r="1074" ht="20" customHeight="1">
      <c r="A1074" s="13" t="inlineStr">
        <is>
          <t>PAEA-CCISM-1073</t>
        </is>
      </c>
      <c r="B1074" s="13" t="inlineStr">
        <is>
          <t>E04455</t>
        </is>
      </c>
      <c r="C1074" s="14" t="inlineStr">
        <is>
          <t>MARQUIGNY NEE CORDESCHI CLAUDIA</t>
        </is>
      </c>
      <c r="D1074" s="14" t="inlineStr">
        <is>
          <t>LOT 135 VALLEE OROFERO 98711 PAEA</t>
        </is>
      </c>
      <c r="E1074" s="14" t="inlineStr">
        <is>
          <t>Patenté (Personne Physique)</t>
        </is>
      </c>
      <c r="F1074" s="14" t="inlineStr">
        <is>
          <t>Patenté</t>
        </is>
      </c>
      <c r="G1074" s="13" t="inlineStr">
        <is>
          <t>8690F</t>
        </is>
      </c>
      <c r="H1074" s="13" t="inlineStr">
        <is>
          <t>S</t>
        </is>
      </c>
      <c r="I1074" s="14" t="inlineStr">
        <is>
          <t>Services</t>
        </is>
      </c>
      <c r="J1074" s="15" t="n">
        <v>0</v>
      </c>
      <c r="K1074" s="15" t="n">
        <v>1</v>
      </c>
      <c r="L1074" s="14" t="inlineStr">
        <is>
          <t>22 107 A</t>
        </is>
      </c>
      <c r="M1074" s="14" t="inlineStr">
        <is>
          <t>Mme MARQUIGNY (Née CORDESCHI) CLAUDIA</t>
        </is>
      </c>
      <c r="N1074" s="14" t="inlineStr">
        <is>
          <t>Chef d entreprise</t>
        </is>
      </c>
      <c r="O1074" s="15" t="inlineStr">
        <is>
          <t>25057</t>
        </is>
      </c>
    </row>
    <row r="1075" ht="20" customHeight="1">
      <c r="A1075" s="16" t="inlineStr">
        <is>
          <t>PAEA-CCISM-1074</t>
        </is>
      </c>
      <c r="B1075" s="16" t="inlineStr">
        <is>
          <t>E03903</t>
        </is>
      </c>
      <c r="C1075" s="17" t="inlineStr">
        <is>
          <t>MARTIN PIERRE</t>
        </is>
      </c>
      <c r="D1075" s="17" t="inlineStr">
        <is>
          <t>PK 24 C/MER LOT 5 98711 PAEA</t>
        </is>
      </c>
      <c r="E1075" s="17" t="inlineStr">
        <is>
          <t>Patenté (Personne Physique)</t>
        </is>
      </c>
      <c r="F1075" s="17" t="inlineStr">
        <is>
          <t>Patenté</t>
        </is>
      </c>
      <c r="G1075" s="16" t="inlineStr">
        <is>
          <t>5520Z</t>
        </is>
      </c>
      <c r="H1075" s="16" t="inlineStr">
        <is>
          <t>S</t>
        </is>
      </c>
      <c r="I1075" s="17" t="inlineStr">
        <is>
          <t>Services</t>
        </is>
      </c>
      <c r="J1075" s="18" t="n">
        <v>0</v>
      </c>
      <c r="K1075" s="18" t="n">
        <v>1</v>
      </c>
      <c r="L1075" s="17" t="inlineStr">
        <is>
          <t>20 2878 A</t>
        </is>
      </c>
      <c r="M1075" s="17" t="inlineStr">
        <is>
          <t>M MARTIN PIERRE</t>
        </is>
      </c>
      <c r="N1075" s="17" t="inlineStr">
        <is>
          <t>Chef d entreprise</t>
        </is>
      </c>
      <c r="O1075" s="18" t="inlineStr">
        <is>
          <t>25096</t>
        </is>
      </c>
    </row>
    <row r="1076" ht="20" customHeight="1">
      <c r="A1076" s="13" t="inlineStr">
        <is>
          <t>PAEA-CCISM-1075</t>
        </is>
      </c>
      <c r="B1076" s="13" t="inlineStr">
        <is>
          <t>376392</t>
        </is>
      </c>
      <c r="C1076" s="14" t="inlineStr">
        <is>
          <t>MARUAE EMILIE</t>
        </is>
      </c>
      <c r="D1076" s="14" t="inlineStr">
        <is>
          <t>N°18 LOTISSEMENT CPS 98711 PAEA</t>
        </is>
      </c>
      <c r="E1076" s="14" t="inlineStr">
        <is>
          <t>Patenté (Personne Physique)</t>
        </is>
      </c>
      <c r="F1076" s="14" t="inlineStr">
        <is>
          <t>Patenté</t>
        </is>
      </c>
      <c r="G1076" s="13" t="inlineStr">
        <is>
          <t>8810A</t>
        </is>
      </c>
      <c r="H1076" s="13" t="inlineStr">
        <is>
          <t>S</t>
        </is>
      </c>
      <c r="I1076" s="14" t="inlineStr">
        <is>
          <t>Services</t>
        </is>
      </c>
      <c r="J1076" s="15" t="n">
        <v>0</v>
      </c>
      <c r="K1076" s="15" t="n">
        <v>1</v>
      </c>
      <c r="L1076" s="14" t="inlineStr">
        <is>
          <t>24 2253 A</t>
        </is>
      </c>
      <c r="M1076" s="14" t="inlineStr">
        <is>
          <t>Mme MARUAE EMILIE</t>
        </is>
      </c>
      <c r="N1076" s="14" t="inlineStr">
        <is>
          <t>Chef d entreprise</t>
        </is>
      </c>
      <c r="O1076" s="15" t="inlineStr">
        <is>
          <t>25114</t>
        </is>
      </c>
    </row>
    <row r="1077" ht="20" customHeight="1">
      <c r="A1077" s="16" t="inlineStr">
        <is>
          <t>PAEA-CCISM-1076</t>
        </is>
      </c>
      <c r="B1077" s="16" t="inlineStr">
        <is>
          <t>D72257</t>
        </is>
      </c>
      <c r="C1077" s="17" t="inlineStr">
        <is>
          <t>MASSIN YANNICK</t>
        </is>
      </c>
      <c r="D1077" s="17" t="inlineStr">
        <is>
          <t>RTE DE LA VALLEE OROFERO 98711 PAEA</t>
        </is>
      </c>
      <c r="E1077" s="17" t="inlineStr">
        <is>
          <t>Patenté (Personne Physique)</t>
        </is>
      </c>
      <c r="F1077" s="17" t="inlineStr">
        <is>
          <t>Patenté</t>
        </is>
      </c>
      <c r="G1077" s="16" t="inlineStr">
        <is>
          <t>7311Z</t>
        </is>
      </c>
      <c r="H1077" s="16" t="inlineStr">
        <is>
          <t>S</t>
        </is>
      </c>
      <c r="I1077" s="17" t="inlineStr">
        <is>
          <t>Services</t>
        </is>
      </c>
      <c r="J1077" s="18" t="n">
        <v>0</v>
      </c>
      <c r="K1077" s="18" t="n">
        <v>1</v>
      </c>
      <c r="L1077" s="17" t="inlineStr">
        <is>
          <t>20 878 A</t>
        </is>
      </c>
      <c r="M1077" s="17" t="inlineStr">
        <is>
          <t>M MASSIN YANNICK</t>
        </is>
      </c>
      <c r="N1077" s="17" t="inlineStr">
        <is>
          <t>Chef d entreprise 25146 D14945 MATAIVA 98711 PAEA SCP 6420Z S 0 1 19 43 C M COLARDEAU PIERRE MARIE EDMMOND Autre</t>
        </is>
      </c>
      <c r="O1077" s="18" t="inlineStr">
        <is>
          <t>25164</t>
        </is>
      </c>
    </row>
    <row r="1078" ht="20" customHeight="1">
      <c r="A1078" s="13" t="inlineStr">
        <is>
          <t>PAEA-CCISM-1077</t>
        </is>
      </c>
      <c r="B1078" s="13" t="inlineStr">
        <is>
          <t>F79182</t>
        </is>
      </c>
      <c r="C1078" s="14" t="inlineStr">
        <is>
          <t>MAUGUIN JAMES LUCIEN</t>
        </is>
      </c>
      <c r="D1078" s="14" t="inlineStr">
        <is>
          <t>98711 PAEA</t>
        </is>
      </c>
      <c r="E1078" s="14" t="inlineStr">
        <is>
          <t>Patenté (Personne Physique)</t>
        </is>
      </c>
      <c r="F1078" s="14" t="inlineStr">
        <is>
          <t>Patenté</t>
        </is>
      </c>
      <c r="G1078" s="13" t="inlineStr">
        <is>
          <t>7490A</t>
        </is>
      </c>
      <c r="H1078" s="13" t="inlineStr">
        <is>
          <t>S</t>
        </is>
      </c>
      <c r="I1078" s="14" t="inlineStr">
        <is>
          <t>Services</t>
        </is>
      </c>
      <c r="J1078" s="15" t="n">
        <v>0</v>
      </c>
      <c r="K1078" s="15" t="n">
        <v>1</v>
      </c>
      <c r="L1078" s="14" t="inlineStr">
        <is>
          <t>24 856 A</t>
        </is>
      </c>
      <c r="M1078" s="14" t="inlineStr">
        <is>
          <t>M MAUGUIN JAMES LUCIEN</t>
        </is>
      </c>
      <c r="N1078" s="14" t="inlineStr">
        <is>
          <t>Chef d entreprise</t>
        </is>
      </c>
      <c r="O1078" s="15" t="inlineStr">
        <is>
          <t>25229</t>
        </is>
      </c>
    </row>
    <row r="1079" ht="20" customHeight="1">
      <c r="A1079" s="16" t="inlineStr">
        <is>
          <t>PAEA-CCISM-1078</t>
        </is>
      </c>
      <c r="B1079" s="16" t="inlineStr">
        <is>
          <t>G13098</t>
        </is>
      </c>
      <c r="C1079" s="17" t="inlineStr">
        <is>
          <t>MAURITERA VAEA</t>
        </is>
      </c>
      <c r="D1079" s="17" t="inlineStr">
        <is>
          <t>STDE JOQUEL LOT N°4 98711 PAEA</t>
        </is>
      </c>
      <c r="E1079" s="17" t="inlineStr">
        <is>
          <t>Patenté (Personne Physique)</t>
        </is>
      </c>
      <c r="F1079" s="17" t="inlineStr">
        <is>
          <t>Patenté</t>
        </is>
      </c>
      <c r="G1079" s="16" t="inlineStr">
        <is>
          <t>8891A</t>
        </is>
      </c>
      <c r="H1079" s="16" t="inlineStr">
        <is>
          <t>S</t>
        </is>
      </c>
      <c r="I1079" s="17" t="inlineStr">
        <is>
          <t>Services</t>
        </is>
      </c>
      <c r="J1079" s="18" t="n">
        <v>0</v>
      </c>
      <c r="K1079" s="18" t="n">
        <v>1</v>
      </c>
      <c r="L1079" s="17" t="inlineStr">
        <is>
          <t>25 348 A</t>
        </is>
      </c>
      <c r="M1079" s="17" t="inlineStr">
        <is>
          <t>Mme MAURITERA VAEA</t>
        </is>
      </c>
      <c r="N1079" s="17" t="inlineStr">
        <is>
          <t>Chef d entreprise</t>
        </is>
      </c>
      <c r="O1079" s="18" t="inlineStr">
        <is>
          <t>25249</t>
        </is>
      </c>
    </row>
    <row r="1080" ht="20" customHeight="1">
      <c r="A1080" s="13" t="inlineStr">
        <is>
          <t>PAEA-CCISM-1079</t>
        </is>
      </c>
      <c r="B1080" s="13" t="inlineStr">
        <is>
          <t>666180</t>
        </is>
      </c>
      <c r="C1080" s="14" t="inlineStr">
        <is>
          <t>MAURY FABIEN LIONEL</t>
        </is>
      </c>
      <c r="D1080" s="14" t="inlineStr">
        <is>
          <t>PAEA PK 19.500 C/MER 98711 PAEA</t>
        </is>
      </c>
      <c r="E1080" s="14" t="inlineStr">
        <is>
          <t>Patenté (Personne Physique)</t>
        </is>
      </c>
      <c r="F1080" s="14" t="inlineStr">
        <is>
          <t>Patenté</t>
        </is>
      </c>
      <c r="G1080" s="13" t="inlineStr">
        <is>
          <t>7311Z</t>
        </is>
      </c>
      <c r="H1080" s="13" t="inlineStr">
        <is>
          <t>S</t>
        </is>
      </c>
      <c r="I1080" s="14" t="inlineStr">
        <is>
          <t>Services</t>
        </is>
      </c>
      <c r="J1080" s="15" t="n">
        <v>0</v>
      </c>
      <c r="K1080" s="15" t="n">
        <v>1</v>
      </c>
      <c r="L1080" s="14" t="inlineStr">
        <is>
          <t>43449 A</t>
        </is>
      </c>
      <c r="M1080" s="14" t="inlineStr">
        <is>
          <t>M MAURY FABIEN LIONEL</t>
        </is>
      </c>
      <c r="N1080" s="14" t="inlineStr">
        <is>
          <t>Chef d entreprise</t>
        </is>
      </c>
      <c r="O1080" s="15" t="inlineStr">
        <is>
          <t>25250</t>
        </is>
      </c>
    </row>
    <row r="1081" ht="20" customHeight="1">
      <c r="A1081" s="16" t="inlineStr">
        <is>
          <t>PAEA-CCISM-1080</t>
        </is>
      </c>
      <c r="B1081" s="16" t="inlineStr">
        <is>
          <t>D27459</t>
        </is>
      </c>
      <c r="C1081" s="17" t="inlineStr">
        <is>
          <t>MENDOZA TIRADO LIGIA, MARCELA</t>
        </is>
      </c>
      <c r="D1081" s="17" t="inlineStr">
        <is>
          <t>QUARTIER TETOE - FACE STATION MOBIL 98711 PAEA</t>
        </is>
      </c>
      <c r="E1081" s="17" t="inlineStr">
        <is>
          <t>Patenté (Personne Physique)</t>
        </is>
      </c>
      <c r="F1081" s="17" t="inlineStr">
        <is>
          <t>Patenté</t>
        </is>
      </c>
      <c r="G1081" s="16" t="inlineStr">
        <is>
          <t>9609Z</t>
        </is>
      </c>
      <c r="H1081" s="16" t="inlineStr">
        <is>
          <t>S</t>
        </is>
      </c>
      <c r="I1081" s="17" t="inlineStr">
        <is>
          <t>Services</t>
        </is>
      </c>
      <c r="J1081" s="18" t="n">
        <v>0</v>
      </c>
      <c r="K1081" s="18" t="n">
        <v>1</v>
      </c>
      <c r="L1081" s="17" t="inlineStr">
        <is>
          <t>20 2662 A</t>
        </is>
      </c>
      <c r="M1081" s="17" t="inlineStr">
        <is>
          <t>Mme MENDOZA TIRADO LIGIA, MARCELA</t>
        </is>
      </c>
      <c r="N1081" s="17" t="inlineStr">
        <is>
          <t>Chef d entreprise</t>
        </is>
      </c>
      <c r="O1081" s="18" t="inlineStr">
        <is>
          <t>25318</t>
        </is>
      </c>
    </row>
    <row r="1082" ht="20" customHeight="1">
      <c r="A1082" s="13" t="inlineStr">
        <is>
          <t>PAEA-CCISM-1081</t>
        </is>
      </c>
      <c r="B1082" s="13" t="inlineStr">
        <is>
          <t>B76245</t>
        </is>
      </c>
      <c r="C1082" s="14" t="inlineStr">
        <is>
          <t>MERVIN TITAUA</t>
        </is>
      </c>
      <c r="D1082" s="14" t="inlineStr">
        <is>
          <t>FACE LOTISSEMENT POFATU 98711 PAEA</t>
        </is>
      </c>
      <c r="E1082" s="14" t="inlineStr">
        <is>
          <t>Patenté (Personne Physique)</t>
        </is>
      </c>
      <c r="F1082" s="14" t="inlineStr">
        <is>
          <t>Patenté</t>
        </is>
      </c>
      <c r="G1082" s="13" t="inlineStr">
        <is>
          <t>8219Z</t>
        </is>
      </c>
      <c r="H1082" s="13" t="inlineStr">
        <is>
          <t>S</t>
        </is>
      </c>
      <c r="I1082" s="14" t="inlineStr">
        <is>
          <t>Services</t>
        </is>
      </c>
      <c r="J1082" s="15" t="n">
        <v>0</v>
      </c>
      <c r="K1082" s="15" t="n">
        <v>1</v>
      </c>
      <c r="L1082" s="14" t="inlineStr">
        <is>
          <t>21 2770 A</t>
        </is>
      </c>
      <c r="M1082" s="14" t="inlineStr">
        <is>
          <t>Mme MERVIN TITAUA</t>
        </is>
      </c>
      <c r="N1082" s="14" t="inlineStr">
        <is>
          <t>Chef d entreprise</t>
        </is>
      </c>
      <c r="O1082" s="15" t="inlineStr">
        <is>
          <t>25353</t>
        </is>
      </c>
    </row>
    <row r="1083" ht="20" customHeight="1">
      <c r="A1083" s="16" t="inlineStr">
        <is>
          <t>PAEA-CCISM-1082</t>
        </is>
      </c>
      <c r="B1083" s="16" t="inlineStr">
        <is>
          <t>975151</t>
        </is>
      </c>
      <c r="C1083" s="17" t="inlineStr">
        <is>
          <t>MIGNEROT GREGORY JEAN CLAUDE</t>
        </is>
      </c>
      <c r="D1083" s="17" t="inlineStr">
        <is>
          <t>PAEA PK 20.200 C/MER - LOTISS LOU CHAO 98711 PAEA</t>
        </is>
      </c>
      <c r="E1083" s="17" t="inlineStr">
        <is>
          <t>Patenté (Personne Physique)</t>
        </is>
      </c>
      <c r="F1083" s="17" t="inlineStr">
        <is>
          <t>Patenté</t>
        </is>
      </c>
      <c r="G1083" s="16" t="inlineStr">
        <is>
          <t>9609Z</t>
        </is>
      </c>
      <c r="H1083" s="16" t="inlineStr">
        <is>
          <t>S</t>
        </is>
      </c>
      <c r="I1083" s="17" t="inlineStr">
        <is>
          <t>Services</t>
        </is>
      </c>
      <c r="J1083" s="18" t="n">
        <v>0</v>
      </c>
      <c r="K1083" s="18" t="n">
        <v>1</v>
      </c>
      <c r="L1083" s="17" t="inlineStr">
        <is>
          <t>11 381 A</t>
        </is>
      </c>
      <c r="M1083" s="17" t="inlineStr">
        <is>
          <t>M MIGNEROT GREGORY JEAN CLAUDE</t>
        </is>
      </c>
      <c r="N1083" s="17" t="inlineStr">
        <is>
          <t>Chef d entreprise 25404 SERVICE</t>
        </is>
      </c>
      <c r="O1083" s="18" t="inlineStr"/>
    </row>
    <row r="1084" ht="20" customHeight="1">
      <c r="A1084" s="13" t="inlineStr">
        <is>
          <t>PAEA-CCISM-1083</t>
        </is>
      </c>
      <c r="B1084" s="13" t="inlineStr">
        <is>
          <t>C26495</t>
        </is>
      </c>
      <c r="C1084" s="14" t="inlineStr">
        <is>
          <t>MONG YEN STEPHY</t>
        </is>
      </c>
      <c r="D1084" s="14" t="inlineStr">
        <is>
          <t>QUARTIER VAIATU QUARTIER VAIATU N16 98711 PAEA</t>
        </is>
      </c>
      <c r="E1084" s="14" t="inlineStr">
        <is>
          <t>Patenté (Personne Physique)</t>
        </is>
      </c>
      <c r="F1084" s="14" t="inlineStr">
        <is>
          <t>Patenté</t>
        </is>
      </c>
      <c r="G1084" s="13" t="inlineStr">
        <is>
          <t>8810A</t>
        </is>
      </c>
      <c r="H1084" s="13" t="inlineStr">
        <is>
          <t>S</t>
        </is>
      </c>
      <c r="I1084" s="14" t="inlineStr">
        <is>
          <t>Services</t>
        </is>
      </c>
      <c r="J1084" s="15" t="n">
        <v>0</v>
      </c>
      <c r="K1084" s="15" t="n">
        <v>1</v>
      </c>
      <c r="L1084" s="14" t="inlineStr">
        <is>
          <t>25 82 A</t>
        </is>
      </c>
      <c r="M1084" s="14" t="inlineStr">
        <is>
          <t>Mme MONG YEN STEPHY</t>
        </is>
      </c>
      <c r="N1084" s="14" t="inlineStr">
        <is>
          <t>Chef d entreprise</t>
        </is>
      </c>
      <c r="O1084" s="15" t="inlineStr">
        <is>
          <t>25543</t>
        </is>
      </c>
    </row>
    <row r="1085" ht="20" customHeight="1">
      <c r="A1085" s="16" t="inlineStr">
        <is>
          <t>PAEA-CCISM-1084</t>
        </is>
      </c>
      <c r="B1085" s="16" t="inlineStr">
        <is>
          <t>A66842</t>
        </is>
      </c>
      <c r="C1085" s="17" t="inlineStr">
        <is>
          <t>MONTARON MIHIMANA</t>
        </is>
      </c>
      <c r="D1085" s="17" t="inlineStr">
        <is>
          <t>98711 PAEA</t>
        </is>
      </c>
      <c r="E1085" s="17" t="inlineStr">
        <is>
          <t>Patenté (Personne Physique)</t>
        </is>
      </c>
      <c r="F1085" s="17" t="inlineStr">
        <is>
          <t>Patenté</t>
        </is>
      </c>
      <c r="G1085" s="16" t="inlineStr">
        <is>
          <t>8810A</t>
        </is>
      </c>
      <c r="H1085" s="16" t="inlineStr">
        <is>
          <t>S</t>
        </is>
      </c>
      <c r="I1085" s="17" t="inlineStr">
        <is>
          <t>Services</t>
        </is>
      </c>
      <c r="J1085" s="18" t="n">
        <v>0</v>
      </c>
      <c r="K1085" s="18" t="n">
        <v>1</v>
      </c>
      <c r="L1085" s="17" t="inlineStr">
        <is>
          <t>20 1376 A</t>
        </is>
      </c>
      <c r="M1085" s="17" t="inlineStr">
        <is>
          <t>M MONTARON MIHIMANA</t>
        </is>
      </c>
      <c r="N1085" s="17" t="inlineStr">
        <is>
          <t>Chef d entreprise</t>
        </is>
      </c>
      <c r="O1085" s="18" t="inlineStr">
        <is>
          <t>25563</t>
        </is>
      </c>
    </row>
    <row r="1086" ht="20" customHeight="1">
      <c r="A1086" s="13" t="inlineStr">
        <is>
          <t>PAEA-CCISM-1085</t>
        </is>
      </c>
      <c r="B1086" s="13" t="inlineStr">
        <is>
          <t>D55864</t>
        </is>
      </c>
      <c r="C1086" s="14" t="inlineStr">
        <is>
          <t>MORNET CEDRIC</t>
        </is>
      </c>
      <c r="D1086" s="14" t="inlineStr">
        <is>
          <t>PK 24 C/MONT 98711 PAEA</t>
        </is>
      </c>
      <c r="E1086" s="14" t="inlineStr">
        <is>
          <t>Patenté (Personne Physique)</t>
        </is>
      </c>
      <c r="F1086" s="14" t="inlineStr">
        <is>
          <t>Patenté</t>
        </is>
      </c>
      <c r="G1086" s="13" t="inlineStr">
        <is>
          <t>9609Z</t>
        </is>
      </c>
      <c r="H1086" s="13" t="inlineStr">
        <is>
          <t>S</t>
        </is>
      </c>
      <c r="I1086" s="14" t="inlineStr">
        <is>
          <t>Services</t>
        </is>
      </c>
      <c r="J1086" s="15" t="n">
        <v>0</v>
      </c>
      <c r="K1086" s="15" t="n">
        <v>1</v>
      </c>
      <c r="L1086" s="14" t="inlineStr">
        <is>
          <t>20 390 A</t>
        </is>
      </c>
      <c r="M1086" s="14" t="inlineStr">
        <is>
          <t>M MORNET CEDRIC</t>
        </is>
      </c>
      <c r="N1086" s="14" t="inlineStr">
        <is>
          <t>Chef d entreprise</t>
        </is>
      </c>
      <c r="O1086" s="15" t="inlineStr">
        <is>
          <t>25671</t>
        </is>
      </c>
    </row>
    <row r="1087" ht="20" customHeight="1">
      <c r="A1087" s="16" t="inlineStr">
        <is>
          <t>PAEA-CCISM-1086</t>
        </is>
      </c>
      <c r="B1087" s="16" t="inlineStr">
        <is>
          <t>B49085</t>
        </is>
      </c>
      <c r="C1087" s="17" t="inlineStr">
        <is>
          <t>MU MANOA HAUARII</t>
        </is>
      </c>
      <c r="D1087" s="17" t="inlineStr">
        <is>
          <t>RTE LOTISSEMENT TEHAUPARU LOTI CPS N°45 98711 PAEA</t>
        </is>
      </c>
      <c r="E1087" s="17" t="inlineStr">
        <is>
          <t>Patenté (Personne Physique)</t>
        </is>
      </c>
      <c r="F1087" s="17" t="inlineStr">
        <is>
          <t>Patenté</t>
        </is>
      </c>
      <c r="G1087" s="16" t="inlineStr">
        <is>
          <t>9002Z</t>
        </is>
      </c>
      <c r="H1087" s="16" t="inlineStr">
        <is>
          <t>S</t>
        </is>
      </c>
      <c r="I1087" s="17" t="inlineStr">
        <is>
          <t>Services</t>
        </is>
      </c>
      <c r="J1087" s="18" t="n">
        <v>0</v>
      </c>
      <c r="K1087" s="18" t="n">
        <v>1</v>
      </c>
      <c r="L1087" s="17" t="inlineStr">
        <is>
          <t>18 864 A</t>
        </is>
      </c>
      <c r="M1087" s="17" t="inlineStr">
        <is>
          <t>M MU MANOA HAUARII</t>
        </is>
      </c>
      <c r="N1087" s="17" t="inlineStr">
        <is>
          <t>Chef d entreprise</t>
        </is>
      </c>
      <c r="O1087" s="18" t="inlineStr">
        <is>
          <t>25778</t>
        </is>
      </c>
    </row>
    <row r="1088" ht="20" customHeight="1">
      <c r="A1088" s="13" t="inlineStr">
        <is>
          <t>PAEA-CCISM-1087</t>
        </is>
      </c>
      <c r="B1088" s="13" t="inlineStr">
        <is>
          <t>E07870</t>
        </is>
      </c>
      <c r="C1088" s="14" t="inlineStr">
        <is>
          <t>MU NEE BAMBRIDGE VAINAMU</t>
        </is>
      </c>
      <c r="D1088" s="14" t="inlineStr">
        <is>
          <t>SERVITUDE CHAPMAN 3 LOT N°1 98711 PAEA</t>
        </is>
      </c>
      <c r="E1088" s="14" t="inlineStr">
        <is>
          <t>Patenté (Personne Physique)</t>
        </is>
      </c>
      <c r="F1088" s="14" t="inlineStr">
        <is>
          <t>Patenté</t>
        </is>
      </c>
      <c r="G1088" s="13" t="inlineStr">
        <is>
          <t>5520Z</t>
        </is>
      </c>
      <c r="H1088" s="13" t="inlineStr">
        <is>
          <t>S</t>
        </is>
      </c>
      <c r="I1088" s="14" t="inlineStr">
        <is>
          <t>Services</t>
        </is>
      </c>
      <c r="J1088" s="15" t="n">
        <v>0</v>
      </c>
      <c r="K1088" s="15" t="n">
        <v>1</v>
      </c>
      <c r="L1088" s="14" t="inlineStr">
        <is>
          <t>25 1629 A</t>
        </is>
      </c>
      <c r="M1088" s="14" t="inlineStr">
        <is>
          <t>Mme MU (Née BAMBRIDGE) VAINAMU</t>
        </is>
      </c>
      <c r="N1088" s="14" t="inlineStr">
        <is>
          <t>Chef d entreprise</t>
        </is>
      </c>
      <c r="O1088" s="15" t="inlineStr">
        <is>
          <t>25779</t>
        </is>
      </c>
    </row>
    <row r="1089" ht="20" customHeight="1">
      <c r="A1089" s="16" t="inlineStr">
        <is>
          <t>PAEA-CCISM-1088</t>
        </is>
      </c>
      <c r="B1089" s="16" t="inlineStr">
        <is>
          <t>D98104</t>
        </is>
      </c>
      <c r="C1089" s="17" t="inlineStr">
        <is>
          <t>MVE-BARRET KILLIAM</t>
        </is>
      </c>
      <c r="D1089" s="17" t="inlineStr">
        <is>
          <t>RTE DE LA VALLEE OROFERO 4° MAISON AP 3EME DODANE 98711 PAEA</t>
        </is>
      </c>
      <c r="E1089" s="17" t="inlineStr">
        <is>
          <t>Patenté (Personne Physique)</t>
        </is>
      </c>
      <c r="F1089" s="17" t="inlineStr">
        <is>
          <t>Patenté</t>
        </is>
      </c>
      <c r="G1089" s="16" t="inlineStr">
        <is>
          <t>5520Z</t>
        </is>
      </c>
      <c r="H1089" s="16" t="inlineStr">
        <is>
          <t>S</t>
        </is>
      </c>
      <c r="I1089" s="17" t="inlineStr">
        <is>
          <t>Services</t>
        </is>
      </c>
      <c r="J1089" s="18" t="n">
        <v>0</v>
      </c>
      <c r="K1089" s="18" t="n">
        <v>1</v>
      </c>
      <c r="L1089" s="17" t="inlineStr">
        <is>
          <t>20 2546 A</t>
        </is>
      </c>
      <c r="M1089" s="17" t="inlineStr">
        <is>
          <t>M MVE-BARRET KILLIAM</t>
        </is>
      </c>
      <c r="N1089" s="17" t="inlineStr">
        <is>
          <t>Chef d entreprise</t>
        </is>
      </c>
      <c r="O1089" s="18" t="inlineStr">
        <is>
          <t>25806</t>
        </is>
      </c>
    </row>
    <row r="1090" ht="20" customHeight="1">
      <c r="A1090" s="13" t="inlineStr">
        <is>
          <t>PAEA-CCISM-1089</t>
        </is>
      </c>
      <c r="B1090" s="13" t="inlineStr">
        <is>
          <t>G06175</t>
        </is>
      </c>
      <c r="C1090" s="14" t="inlineStr">
        <is>
          <t>NEAGLE METETA</t>
        </is>
      </c>
      <c r="D1090" s="14" t="inlineStr">
        <is>
          <t>ROUTE DU MARAE ARAHURAHU 98711 PAEA</t>
        </is>
      </c>
      <c r="E1090" s="14" t="inlineStr">
        <is>
          <t>Patenté (Personne Physique)</t>
        </is>
      </c>
      <c r="F1090" s="14" t="inlineStr">
        <is>
          <t>Patenté</t>
        </is>
      </c>
      <c r="G1090" s="13" t="inlineStr">
        <is>
          <t>7021Z</t>
        </is>
      </c>
      <c r="H1090" s="13" t="inlineStr">
        <is>
          <t>S</t>
        </is>
      </c>
      <c r="I1090" s="14" t="inlineStr">
        <is>
          <t>Services</t>
        </is>
      </c>
      <c r="J1090" s="15" t="n">
        <v>0</v>
      </c>
      <c r="K1090" s="15" t="n">
        <v>1</v>
      </c>
      <c r="L1090" s="14" t="inlineStr">
        <is>
          <t>25 136 A</t>
        </is>
      </c>
      <c r="M1090" s="14" t="inlineStr">
        <is>
          <t>M NEAGLE METETA</t>
        </is>
      </c>
      <c r="N1090" s="14" t="inlineStr">
        <is>
          <t>Chef d entreprise</t>
        </is>
      </c>
      <c r="O1090" s="15" t="inlineStr">
        <is>
          <t>25905</t>
        </is>
      </c>
    </row>
    <row r="1091" ht="20" customHeight="1">
      <c r="A1091" s="16" t="inlineStr">
        <is>
          <t>PAEA-CCISM-1090</t>
        </is>
      </c>
      <c r="B1091" s="16" t="inlineStr">
        <is>
          <t>F58129</t>
        </is>
      </c>
      <c r="C1091" s="17" t="inlineStr">
        <is>
          <t>NEHEMIA AHURAU TEFANA</t>
        </is>
      </c>
      <c r="D1091" s="17" t="inlineStr">
        <is>
          <t>98711 PAEA</t>
        </is>
      </c>
      <c r="E1091" s="17" t="inlineStr">
        <is>
          <t>Patenté (Personne Physique)</t>
        </is>
      </c>
      <c r="F1091" s="17" t="inlineStr">
        <is>
          <t>Patenté</t>
        </is>
      </c>
      <c r="G1091" s="16" t="inlineStr">
        <is>
          <t>9609Z</t>
        </is>
      </c>
      <c r="H1091" s="16" t="inlineStr">
        <is>
          <t>S</t>
        </is>
      </c>
      <c r="I1091" s="17" t="inlineStr">
        <is>
          <t>Services</t>
        </is>
      </c>
      <c r="J1091" s="18" t="n">
        <v>0</v>
      </c>
      <c r="K1091" s="18" t="n">
        <v>1</v>
      </c>
      <c r="L1091" s="17" t="inlineStr">
        <is>
          <t>23 2945 A</t>
        </is>
      </c>
      <c r="M1091" s="17" t="inlineStr">
        <is>
          <t>Mme NEHEMIA AHURAU TEFANA</t>
        </is>
      </c>
      <c r="N1091" s="17" t="inlineStr">
        <is>
          <t>Chef d entreprise</t>
        </is>
      </c>
      <c r="O1091" s="18" t="inlineStr">
        <is>
          <t>25910</t>
        </is>
      </c>
    </row>
    <row r="1092" ht="20" customHeight="1">
      <c r="A1092" s="13" t="inlineStr">
        <is>
          <t>PAEA-CCISM-1091</t>
        </is>
      </c>
      <c r="B1092" s="13" t="inlineStr">
        <is>
          <t>547570</t>
        </is>
      </c>
      <c r="C1092" s="14" t="inlineStr">
        <is>
          <t>NEVEU YANN ALBERT</t>
        </is>
      </c>
      <c r="D1092" s="14" t="inlineStr">
        <is>
          <t>PAEA PK 18.700 C/MONT 98711 PAEA</t>
        </is>
      </c>
      <c r="E1092" s="14" t="inlineStr">
        <is>
          <t>Patenté (Personne Physique)</t>
        </is>
      </c>
      <c r="F1092" s="14" t="inlineStr">
        <is>
          <t>Patenté</t>
        </is>
      </c>
      <c r="G1092" s="13" t="inlineStr">
        <is>
          <t>7111Z</t>
        </is>
      </c>
      <c r="H1092" s="13" t="inlineStr">
        <is>
          <t>S</t>
        </is>
      </c>
      <c r="I1092" s="14" t="inlineStr">
        <is>
          <t>Services</t>
        </is>
      </c>
      <c r="J1092" s="15" t="n">
        <v>0</v>
      </c>
      <c r="K1092" s="15" t="n">
        <v>1</v>
      </c>
      <c r="L1092" s="14" t="inlineStr">
        <is>
          <t>36923 A</t>
        </is>
      </c>
      <c r="M1092" s="14" t="inlineStr">
        <is>
          <t>M NEVEU YANN ALBERT</t>
        </is>
      </c>
      <c r="N1092" s="14" t="inlineStr">
        <is>
          <t>Chef d entreprise</t>
        </is>
      </c>
      <c r="O1092" s="15" t="inlineStr">
        <is>
          <t>25941</t>
        </is>
      </c>
    </row>
    <row r="1093" ht="20" customHeight="1">
      <c r="A1093" s="16" t="inlineStr">
        <is>
          <t>PAEA-CCISM-1092</t>
        </is>
      </c>
      <c r="B1093" s="16" t="inlineStr">
        <is>
          <t>943639</t>
        </is>
      </c>
      <c r="C1093" s="17" t="inlineStr">
        <is>
          <t>NICOLAS BICHON SERVICES</t>
        </is>
      </c>
      <c r="D1093" s="17" t="inlineStr">
        <is>
          <t>PAEA SERVITUDE HEI TIARE 98711 PAEA</t>
        </is>
      </c>
      <c r="E1093" s="17" t="inlineStr">
        <is>
          <t>SARL</t>
        </is>
      </c>
      <c r="F1093" s="17" t="inlineStr">
        <is>
          <t>Société</t>
        </is>
      </c>
      <c r="G1093" s="16" t="inlineStr">
        <is>
          <t>9609Z</t>
        </is>
      </c>
      <c r="H1093" s="16" t="inlineStr">
        <is>
          <t>S</t>
        </is>
      </c>
      <c r="I1093" s="17" t="inlineStr">
        <is>
          <t>Services</t>
        </is>
      </c>
      <c r="J1093" s="18" t="n">
        <v>7</v>
      </c>
      <c r="K1093" s="18" t="n">
        <v>2</v>
      </c>
      <c r="L1093" s="17" t="inlineStr">
        <is>
          <t>10 122 B</t>
        </is>
      </c>
      <c r="M1093" s="17" t="inlineStr">
        <is>
          <t>M BICHON NICOLAS JEAN-PAUL CHRISTIAN</t>
        </is>
      </c>
      <c r="N1093" s="17" t="inlineStr"/>
      <c r="O1093" s="18" t="inlineStr">
        <is>
          <t>25964</t>
        </is>
      </c>
    </row>
    <row r="1094" ht="20" customHeight="1">
      <c r="A1094" s="13" t="inlineStr">
        <is>
          <t>PAEA-CCISM-1093</t>
        </is>
      </c>
      <c r="B1094" s="13" t="inlineStr">
        <is>
          <t>B39599</t>
        </is>
      </c>
      <c r="C1094" s="14" t="inlineStr">
        <is>
          <t>NOHOTEMOREA FATUHEI GUILDA</t>
        </is>
      </c>
      <c r="D1094" s="14" t="inlineStr">
        <is>
          <t>QTR CHAPMAN 98711 PAEA</t>
        </is>
      </c>
      <c r="E1094" s="14" t="inlineStr">
        <is>
          <t>Patenté (Personne Physique)</t>
        </is>
      </c>
      <c r="F1094" s="14" t="inlineStr">
        <is>
          <t>Patenté</t>
        </is>
      </c>
      <c r="G1094" s="13" t="inlineStr">
        <is>
          <t>8810A</t>
        </is>
      </c>
      <c r="H1094" s="13" t="inlineStr">
        <is>
          <t>S</t>
        </is>
      </c>
      <c r="I1094" s="14" t="inlineStr">
        <is>
          <t>Services</t>
        </is>
      </c>
      <c r="J1094" s="15" t="n">
        <v>0</v>
      </c>
      <c r="K1094" s="15" t="n">
        <v>1</v>
      </c>
      <c r="L1094" s="14" t="inlineStr">
        <is>
          <t>20 2226 A</t>
        </is>
      </c>
      <c r="M1094" s="14" t="inlineStr">
        <is>
          <t>Mme NOHOTEMOREA FATUHEI GUILDA</t>
        </is>
      </c>
      <c r="N1094" s="14" t="inlineStr">
        <is>
          <t>Chef d entreprise</t>
        </is>
      </c>
      <c r="O1094" s="15" t="inlineStr">
        <is>
          <t>26015</t>
        </is>
      </c>
    </row>
    <row r="1095" ht="20" customHeight="1">
      <c r="A1095" s="16" t="inlineStr">
        <is>
          <t>PAEA-CCISM-1094</t>
        </is>
      </c>
      <c r="B1095" s="16" t="inlineStr">
        <is>
          <t>F91278</t>
        </is>
      </c>
      <c r="C1095" s="17" t="inlineStr">
        <is>
          <t>NOINAIN LEO TAMATOA</t>
        </is>
      </c>
      <c r="D1095" s="17" t="inlineStr">
        <is>
          <t>98711 PAEA</t>
        </is>
      </c>
      <c r="E1095" s="17" t="inlineStr">
        <is>
          <t>Patenté (Personne Physique)</t>
        </is>
      </c>
      <c r="F1095" s="17" t="inlineStr">
        <is>
          <t>Patenté</t>
        </is>
      </c>
      <c r="G1095" s="16" t="inlineStr">
        <is>
          <t>5320Z</t>
        </is>
      </c>
      <c r="H1095" s="16" t="inlineStr">
        <is>
          <t>S</t>
        </is>
      </c>
      <c r="I1095" s="17" t="inlineStr">
        <is>
          <t>Services</t>
        </is>
      </c>
      <c r="J1095" s="18" t="n">
        <v>0</v>
      </c>
      <c r="K1095" s="18" t="n">
        <v>1</v>
      </c>
      <c r="L1095" s="17" t="inlineStr">
        <is>
          <t>24 1650 A</t>
        </is>
      </c>
      <c r="M1095" s="17" t="inlineStr">
        <is>
          <t>M NOINAIN LEO TAMATOA</t>
        </is>
      </c>
      <c r="N1095" s="17" t="inlineStr">
        <is>
          <t>Chef d entreprise</t>
        </is>
      </c>
      <c r="O1095" s="18" t="inlineStr">
        <is>
          <t>26017</t>
        </is>
      </c>
    </row>
    <row r="1096" ht="20" customHeight="1">
      <c r="A1096" s="13" t="inlineStr">
        <is>
          <t>PAEA-CCISM-1095</t>
        </is>
      </c>
      <c r="B1096" s="13" t="inlineStr">
        <is>
          <t>E07599</t>
        </is>
      </c>
      <c r="C1096" s="14" t="inlineStr">
        <is>
          <t>NOMCILOVIC ALEXIS</t>
        </is>
      </c>
      <c r="D1096" s="14" t="inlineStr">
        <is>
          <t>VALLEE OROFERO DOMAINE MAHUTATUA 98711 PAEA</t>
        </is>
      </c>
      <c r="E1096" s="14" t="inlineStr">
        <is>
          <t>Patenté (Personne Physique)</t>
        </is>
      </c>
      <c r="F1096" s="14" t="inlineStr">
        <is>
          <t>Patenté</t>
        </is>
      </c>
      <c r="G1096" s="13" t="inlineStr">
        <is>
          <t>8559A</t>
        </is>
      </c>
      <c r="H1096" s="13" t="inlineStr">
        <is>
          <t>S</t>
        </is>
      </c>
      <c r="I1096" s="14" t="inlineStr">
        <is>
          <t>Services</t>
        </is>
      </c>
      <c r="J1096" s="15" t="n">
        <v>0</v>
      </c>
      <c r="K1096" s="15" t="n">
        <v>1</v>
      </c>
      <c r="L1096" s="14" t="inlineStr">
        <is>
          <t>21 312 A</t>
        </is>
      </c>
      <c r="M1096" s="14" t="inlineStr">
        <is>
          <t>M MOMCILOVIC ALEXIS</t>
        </is>
      </c>
      <c r="N1096" s="14" t="inlineStr">
        <is>
          <t>Chef d entreprise</t>
        </is>
      </c>
      <c r="O1096" s="15" t="inlineStr">
        <is>
          <t>26021</t>
        </is>
      </c>
    </row>
    <row r="1097" ht="20" customHeight="1">
      <c r="A1097" s="16" t="inlineStr">
        <is>
          <t>PAEA-CCISM-1096</t>
        </is>
      </c>
      <c r="B1097" s="16" t="inlineStr">
        <is>
          <t>B93281</t>
        </is>
      </c>
      <c r="C1097" s="17" t="inlineStr">
        <is>
          <t>OLIVIER GUILLAUME MICHEL</t>
        </is>
      </c>
      <c r="D1097" s="17" t="inlineStr">
        <is>
          <t>98711 PAEA</t>
        </is>
      </c>
      <c r="E1097" s="17" t="inlineStr">
        <is>
          <t>Patenté (Personne Physique)</t>
        </is>
      </c>
      <c r="F1097" s="17" t="inlineStr">
        <is>
          <t>Patenté</t>
        </is>
      </c>
      <c r="G1097" s="16" t="inlineStr">
        <is>
          <t>7112B</t>
        </is>
      </c>
      <c r="H1097" s="16" t="inlineStr">
        <is>
          <t>S</t>
        </is>
      </c>
      <c r="I1097" s="17" t="inlineStr">
        <is>
          <t>Services</t>
        </is>
      </c>
      <c r="J1097" s="18" t="n">
        <v>0</v>
      </c>
      <c r="K1097" s="18" t="n">
        <v>1</v>
      </c>
      <c r="L1097" s="17" t="inlineStr">
        <is>
          <t>16 1103 A</t>
        </is>
      </c>
      <c r="M1097" s="17" t="inlineStr">
        <is>
          <t>M OLIVIER GUILLAUME MICHEL</t>
        </is>
      </c>
      <c r="N1097" s="17" t="inlineStr">
        <is>
          <t>Chef d entreprise</t>
        </is>
      </c>
      <c r="O1097" s="18" t="inlineStr">
        <is>
          <t>26126</t>
        </is>
      </c>
    </row>
    <row r="1098" ht="20" customHeight="1">
      <c r="A1098" s="13" t="inlineStr">
        <is>
          <t>PAEA-CCISM-1097</t>
        </is>
      </c>
      <c r="B1098" s="13" t="inlineStr">
        <is>
          <t>F28601</t>
        </is>
      </c>
      <c r="C1098" s="14" t="inlineStr">
        <is>
          <t>OPETA CELIA</t>
        </is>
      </c>
      <c r="D1098" s="14" t="inlineStr">
        <is>
          <t>RES VAITUPA 98711 PAEA</t>
        </is>
      </c>
      <c r="E1098" s="14" t="inlineStr">
        <is>
          <t>Patenté (Personne Physique)</t>
        </is>
      </c>
      <c r="F1098" s="14" t="inlineStr">
        <is>
          <t>Patenté</t>
        </is>
      </c>
      <c r="G1098" s="13" t="inlineStr">
        <is>
          <t>8219Z</t>
        </is>
      </c>
      <c r="H1098" s="13" t="inlineStr">
        <is>
          <t>S</t>
        </is>
      </c>
      <c r="I1098" s="14" t="inlineStr">
        <is>
          <t>Services</t>
        </is>
      </c>
      <c r="J1098" s="15" t="n">
        <v>0</v>
      </c>
      <c r="K1098" s="15" t="n">
        <v>1</v>
      </c>
      <c r="L1098" s="14" t="inlineStr">
        <is>
          <t>23 1152 A</t>
        </is>
      </c>
      <c r="M1098" s="14" t="inlineStr">
        <is>
          <t>Mme OPETA CELIA</t>
        </is>
      </c>
      <c r="N1098" s="14" t="inlineStr">
        <is>
          <t>Chef d entreprise</t>
        </is>
      </c>
      <c r="O1098" s="15" t="inlineStr">
        <is>
          <t>26161</t>
        </is>
      </c>
    </row>
    <row r="1099" ht="20" customHeight="1">
      <c r="A1099" s="16" t="inlineStr">
        <is>
          <t>PAEA-CCISM-1098</t>
        </is>
      </c>
      <c r="B1099" s="16" t="inlineStr">
        <is>
          <t>G11662</t>
        </is>
      </c>
      <c r="C1099" s="17" t="inlineStr">
        <is>
          <t>OPETA KRISTINA</t>
        </is>
      </c>
      <c r="D1099" s="17" t="inlineStr">
        <is>
          <t>LOT N°20 LOTISSEMENT CPS 98711 PAEA</t>
        </is>
      </c>
      <c r="E1099" s="17" t="inlineStr">
        <is>
          <t>Patenté (Personne Physique)</t>
        </is>
      </c>
      <c r="F1099" s="17" t="inlineStr">
        <is>
          <t>Patenté</t>
        </is>
      </c>
      <c r="G1099" s="16" t="inlineStr">
        <is>
          <t>8810A</t>
        </is>
      </c>
      <c r="H1099" s="16" t="inlineStr">
        <is>
          <t>S</t>
        </is>
      </c>
      <c r="I1099" s="17" t="inlineStr">
        <is>
          <t>Services</t>
        </is>
      </c>
      <c r="J1099" s="18" t="n">
        <v>0</v>
      </c>
      <c r="K1099" s="18" t="n">
        <v>1</v>
      </c>
      <c r="L1099" s="17" t="inlineStr">
        <is>
          <t>25 392 A</t>
        </is>
      </c>
      <c r="M1099" s="17" t="inlineStr">
        <is>
          <t>Mme OPETA KRISTINA</t>
        </is>
      </c>
      <c r="N1099" s="17" t="inlineStr">
        <is>
          <t>Chef d entreprise</t>
        </is>
      </c>
      <c r="O1099" s="18" t="inlineStr">
        <is>
          <t>26162</t>
        </is>
      </c>
    </row>
    <row r="1100" ht="20" customHeight="1">
      <c r="A1100" s="13" t="inlineStr">
        <is>
          <t>PAEA-CCISM-1099</t>
        </is>
      </c>
      <c r="B1100" s="13" t="inlineStr">
        <is>
          <t>C00375</t>
        </is>
      </c>
      <c r="C1100" s="14" t="inlineStr">
        <is>
          <t>ORBECK HEIAU TAAROA</t>
        </is>
      </c>
      <c r="D1100" s="14" t="inlineStr">
        <is>
          <t>RTE LOTISSEMENT MONTARON N°10 - APRES HAERERAAROA 98711 PAEA</t>
        </is>
      </c>
      <c r="E1100" s="14" t="inlineStr">
        <is>
          <t>Patenté (Personne Physique)</t>
        </is>
      </c>
      <c r="F1100" s="14" t="inlineStr">
        <is>
          <t>Patenté</t>
        </is>
      </c>
      <c r="G1100" s="13" t="inlineStr">
        <is>
          <t>7721Z</t>
        </is>
      </c>
      <c r="H1100" s="13" t="inlineStr">
        <is>
          <t>S</t>
        </is>
      </c>
      <c r="I1100" s="14" t="inlineStr">
        <is>
          <t>Services</t>
        </is>
      </c>
      <c r="J1100" s="15" t="n">
        <v>0</v>
      </c>
      <c r="K1100" s="15" t="n">
        <v>1</v>
      </c>
      <c r="L1100" s="14" t="inlineStr">
        <is>
          <t>16 1616 A</t>
        </is>
      </c>
      <c r="M1100" s="14" t="inlineStr">
        <is>
          <t>M ORBECK HEIAU TAAROA</t>
        </is>
      </c>
      <c r="N1100" s="14" t="inlineStr">
        <is>
          <t>Chef d entreprise</t>
        </is>
      </c>
      <c r="O1100" s="15" t="inlineStr">
        <is>
          <t>26181</t>
        </is>
      </c>
    </row>
    <row r="1101" ht="20" customHeight="1">
      <c r="A1101" s="16" t="inlineStr">
        <is>
          <t>PAEA-CCISM-1100</t>
        </is>
      </c>
      <c r="B1101" s="16" t="inlineStr">
        <is>
          <t>E01675</t>
        </is>
      </c>
      <c r="C1101" s="17" t="inlineStr">
        <is>
          <t>OUANDA FATIMA</t>
        </is>
      </c>
      <c r="D1101" s="17" t="inlineStr">
        <is>
          <t>SERV HAUMAUURU 98711 PAEA</t>
        </is>
      </c>
      <c r="E1101" s="17" t="inlineStr">
        <is>
          <t>Patenté (Personne Physique)</t>
        </is>
      </c>
      <c r="F1101" s="17" t="inlineStr">
        <is>
          <t>Patenté</t>
        </is>
      </c>
      <c r="G1101" s="16" t="inlineStr">
        <is>
          <t>8559A</t>
        </is>
      </c>
      <c r="H1101" s="16" t="inlineStr">
        <is>
          <t>S</t>
        </is>
      </c>
      <c r="I1101" s="17" t="inlineStr">
        <is>
          <t>Services</t>
        </is>
      </c>
      <c r="J1101" s="18" t="n">
        <v>0</v>
      </c>
      <c r="K1101" s="18" t="n">
        <v>1</v>
      </c>
      <c r="L1101" s="17" t="inlineStr">
        <is>
          <t>20 2765 A</t>
        </is>
      </c>
      <c r="M1101" s="17" t="inlineStr">
        <is>
          <t>Mme OUANDA FATIMA</t>
        </is>
      </c>
      <c r="N1101" s="17" t="inlineStr">
        <is>
          <t>Chef d entreprise</t>
        </is>
      </c>
      <c r="O1101" s="18" t="inlineStr">
        <is>
          <t>26210</t>
        </is>
      </c>
    </row>
    <row r="1102" ht="20" customHeight="1">
      <c r="A1102" s="13" t="inlineStr">
        <is>
          <t>PAEA-CCISM-1101</t>
        </is>
      </c>
      <c r="B1102" s="13" t="inlineStr">
        <is>
          <t>G13296</t>
        </is>
      </c>
      <c r="C1102" s="14" t="inlineStr">
        <is>
          <t>OUSTELANDT NEE BULCKAEN CHRISTELLE</t>
        </is>
      </c>
      <c r="D1102" s="14" t="inlineStr">
        <is>
          <t>98711 PAEA</t>
        </is>
      </c>
      <c r="E1102" s="14" t="inlineStr">
        <is>
          <t>Patenté (Personne Physique)</t>
        </is>
      </c>
      <c r="F1102" s="14" t="inlineStr">
        <is>
          <t>Patenté</t>
        </is>
      </c>
      <c r="G1102" s="13" t="inlineStr">
        <is>
          <t>7022Z</t>
        </is>
      </c>
      <c r="H1102" s="13" t="inlineStr">
        <is>
          <t>S</t>
        </is>
      </c>
      <c r="I1102" s="14" t="inlineStr">
        <is>
          <t>Services</t>
        </is>
      </c>
      <c r="J1102" s="15" t="n">
        <v>0</v>
      </c>
      <c r="K1102" s="15" t="n">
        <v>1</v>
      </c>
      <c r="L1102" s="14" t="inlineStr">
        <is>
          <t>25 466 A</t>
        </is>
      </c>
      <c r="M1102" s="14" t="inlineStr">
        <is>
          <t>Mme OUSTELANDT (Née BULCKAEN) CHRISTELLE</t>
        </is>
      </c>
      <c r="N1102" s="14" t="inlineStr">
        <is>
          <t>Chef d entreprise 26217 SERVICE</t>
        </is>
      </c>
      <c r="O1102" s="15" t="inlineStr"/>
    </row>
    <row r="1103" ht="20" customHeight="1">
      <c r="A1103" s="16" t="inlineStr">
        <is>
          <t>PAEA-CCISM-1102</t>
        </is>
      </c>
      <c r="B1103" s="16" t="inlineStr">
        <is>
          <t>C71558</t>
        </is>
      </c>
      <c r="C1103" s="17" t="inlineStr">
        <is>
          <t>OVELHEIRO NEE AIELLO PATRICIA</t>
        </is>
      </c>
      <c r="D1103" s="17" t="inlineStr">
        <is>
          <t>RTE LOTISSEMENT BOURNE LOT 25 98711 PAEA</t>
        </is>
      </c>
      <c r="E1103" s="17" t="inlineStr">
        <is>
          <t>Patenté (Personne Physique)</t>
        </is>
      </c>
      <c r="F1103" s="17" t="inlineStr">
        <is>
          <t>Patenté</t>
        </is>
      </c>
      <c r="G1103" s="16" t="inlineStr">
        <is>
          <t>8219Z</t>
        </is>
      </c>
      <c r="H1103" s="16" t="inlineStr">
        <is>
          <t>S</t>
        </is>
      </c>
      <c r="I1103" s="17" t="inlineStr">
        <is>
          <t>Services</t>
        </is>
      </c>
      <c r="J1103" s="18" t="n">
        <v>0</v>
      </c>
      <c r="K1103" s="18" t="n">
        <v>1</v>
      </c>
      <c r="L1103" s="17" t="inlineStr">
        <is>
          <t>18 559 A</t>
        </is>
      </c>
      <c r="M1103" s="17" t="inlineStr">
        <is>
          <t>Mme OVELHEIRO (Née AIELLO) PATRICIA</t>
        </is>
      </c>
      <c r="N1103" s="17" t="inlineStr">
        <is>
          <t>Chef d entreprise 26223 D14952 PACIFIQUE KEROZENE 98711 PAEA SCP 6420Z S 0 1 19 44 C M COLARDEAU PIERRE MARIE EDMMOND Autre</t>
        </is>
      </c>
      <c r="O1103" s="18" t="inlineStr">
        <is>
          <t>26299</t>
        </is>
      </c>
    </row>
    <row r="1104" ht="20" customHeight="1">
      <c r="A1104" s="13" t="inlineStr">
        <is>
          <t>PAEA-CCISM-1103</t>
        </is>
      </c>
      <c r="B1104" s="13" t="inlineStr">
        <is>
          <t>G15572</t>
        </is>
      </c>
      <c r="C1104" s="14" t="inlineStr">
        <is>
          <t>PAGNUTTI MANOA</t>
        </is>
      </c>
      <c r="D1104" s="14" t="inlineStr">
        <is>
          <t>DERRIERE TEMPLE PORTESTANT 98711 PAEA</t>
        </is>
      </c>
      <c r="E1104" s="14" t="inlineStr">
        <is>
          <t>Patenté (Personne Physique)</t>
        </is>
      </c>
      <c r="F1104" s="14" t="inlineStr">
        <is>
          <t>Patenté</t>
        </is>
      </c>
      <c r="G1104" s="13" t="inlineStr">
        <is>
          <t>8810A</t>
        </is>
      </c>
      <c r="H1104" s="13" t="inlineStr">
        <is>
          <t>S</t>
        </is>
      </c>
      <c r="I1104" s="14" t="inlineStr">
        <is>
          <t>Services</t>
        </is>
      </c>
      <c r="J1104" s="15" t="n">
        <v>0</v>
      </c>
      <c r="K1104" s="15" t="n">
        <v>1</v>
      </c>
      <c r="L1104" s="14" t="inlineStr">
        <is>
          <t>25 547 A</t>
        </is>
      </c>
      <c r="M1104" s="14" t="inlineStr">
        <is>
          <t>M PAGNUTTI MANOA</t>
        </is>
      </c>
      <c r="N1104" s="14" t="inlineStr">
        <is>
          <t>Chef d entreprise</t>
        </is>
      </c>
      <c r="O1104" s="15" t="inlineStr">
        <is>
          <t>26322</t>
        </is>
      </c>
    </row>
    <row r="1105" ht="20" customHeight="1">
      <c r="A1105" s="16" t="inlineStr">
        <is>
          <t>PAEA-CCISM-1104</t>
        </is>
      </c>
      <c r="B1105" s="16" t="inlineStr">
        <is>
          <t>E40038</t>
        </is>
      </c>
      <c r="C1105" s="17" t="inlineStr">
        <is>
          <t>PAI TEHERE TEATA</t>
        </is>
      </c>
      <c r="D1105" s="17" t="inlineStr">
        <is>
          <t>98711 PAEA</t>
        </is>
      </c>
      <c r="E1105" s="17" t="inlineStr">
        <is>
          <t>Patenté (Personne Physique)</t>
        </is>
      </c>
      <c r="F1105" s="17" t="inlineStr">
        <is>
          <t>Patenté</t>
        </is>
      </c>
      <c r="G1105" s="16" t="inlineStr">
        <is>
          <t>6201Z</t>
        </is>
      </c>
      <c r="H1105" s="16" t="inlineStr">
        <is>
          <t>S</t>
        </is>
      </c>
      <c r="I1105" s="17" t="inlineStr">
        <is>
          <t>Services</t>
        </is>
      </c>
      <c r="J1105" s="18" t="n">
        <v>0</v>
      </c>
      <c r="K1105" s="18" t="n">
        <v>1</v>
      </c>
      <c r="L1105" s="17" t="inlineStr">
        <is>
          <t>21 2315 A</t>
        </is>
      </c>
      <c r="M1105" s="17" t="inlineStr">
        <is>
          <t>Mme PAI TEHERE TEATA</t>
        </is>
      </c>
      <c r="N1105" s="17" t="inlineStr">
        <is>
          <t>Chef d entreprise</t>
        </is>
      </c>
      <c r="O1105" s="18" t="inlineStr">
        <is>
          <t>26345</t>
        </is>
      </c>
    </row>
    <row r="1106" ht="20" customHeight="1">
      <c r="A1106" s="13" t="inlineStr">
        <is>
          <t>PAEA-CCISM-1105</t>
        </is>
      </c>
      <c r="B1106" s="13" t="inlineStr">
        <is>
          <t>G15358</t>
        </is>
      </c>
      <c r="C1106" s="14" t="inlineStr">
        <is>
          <t>PAOAAFAITE TIURAI</t>
        </is>
      </c>
      <c r="D1106" s="14" t="inlineStr">
        <is>
          <t>RTE LOTISSEMENT CHAPMAN PK 23.600 COTÉ MONTAGNE 98711 PAEA</t>
        </is>
      </c>
      <c r="E1106" s="14" t="inlineStr">
        <is>
          <t>Patenté (Personne Physique)</t>
        </is>
      </c>
      <c r="F1106" s="14" t="inlineStr">
        <is>
          <t>Patenté</t>
        </is>
      </c>
      <c r="G1106" s="13" t="inlineStr">
        <is>
          <t>5320Z</t>
        </is>
      </c>
      <c r="H1106" s="13" t="inlineStr">
        <is>
          <t>S</t>
        </is>
      </c>
      <c r="I1106" s="14" t="inlineStr">
        <is>
          <t>Services</t>
        </is>
      </c>
      <c r="J1106" s="15" t="n">
        <v>0</v>
      </c>
      <c r="K1106" s="15" t="n">
        <v>1</v>
      </c>
      <c r="L1106" s="14" t="inlineStr">
        <is>
          <t>25 559 A</t>
        </is>
      </c>
      <c r="M1106" s="14" t="inlineStr">
        <is>
          <t>M PAOAAFAITE TIURAI</t>
        </is>
      </c>
      <c r="N1106" s="14" t="inlineStr">
        <is>
          <t>Chef d entreprise</t>
        </is>
      </c>
      <c r="O1106" s="15" t="inlineStr">
        <is>
          <t>26410</t>
        </is>
      </c>
    </row>
    <row r="1107" ht="20" customHeight="1">
      <c r="A1107" s="16" t="inlineStr">
        <is>
          <t>PAEA-CCISM-1106</t>
        </is>
      </c>
      <c r="B1107" s="16" t="inlineStr">
        <is>
          <t>E82360</t>
        </is>
      </c>
      <c r="C1107" s="17" t="inlineStr">
        <is>
          <t>PAOFAI VAIARII</t>
        </is>
      </c>
      <c r="D1107" s="17" t="inlineStr">
        <is>
          <t>98711 PAEA</t>
        </is>
      </c>
      <c r="E1107" s="17" t="inlineStr">
        <is>
          <t>Patenté (Personne Physique)</t>
        </is>
      </c>
      <c r="F1107" s="17" t="inlineStr">
        <is>
          <t>Patenté</t>
        </is>
      </c>
      <c r="G1107" s="16" t="inlineStr">
        <is>
          <t>9002Z</t>
        </is>
      </c>
      <c r="H1107" s="16" t="inlineStr">
        <is>
          <t>S</t>
        </is>
      </c>
      <c r="I1107" s="17" t="inlineStr">
        <is>
          <t>Services</t>
        </is>
      </c>
      <c r="J1107" s="18" t="n">
        <v>0</v>
      </c>
      <c r="K1107" s="18" t="n">
        <v>1</v>
      </c>
      <c r="L1107" s="17" t="inlineStr">
        <is>
          <t>25 200 A</t>
        </is>
      </c>
      <c r="M1107" s="17" t="inlineStr">
        <is>
          <t>M PAOFAI VAIARII</t>
        </is>
      </c>
      <c r="N1107" s="17" t="inlineStr">
        <is>
          <t>Chef d entreprise</t>
        </is>
      </c>
      <c r="O1107" s="18" t="inlineStr">
        <is>
          <t>26417</t>
        </is>
      </c>
    </row>
    <row r="1108" ht="20" customHeight="1">
      <c r="A1108" s="13" t="inlineStr">
        <is>
          <t>PAEA-CCISM-1107</t>
        </is>
      </c>
      <c r="B1108" s="13" t="inlineStr">
        <is>
          <t>G22172</t>
        </is>
      </c>
      <c r="C1108" s="14" t="inlineStr">
        <is>
          <t>PAPA TOANUI, HENRI</t>
        </is>
      </c>
      <c r="D1108" s="14" t="inlineStr">
        <is>
          <t>VALLEE DE OROFERO 98711 PAEA</t>
        </is>
      </c>
      <c r="E1108" s="14" t="inlineStr">
        <is>
          <t>Patenté (Personne Physique)</t>
        </is>
      </c>
      <c r="F1108" s="14" t="inlineStr">
        <is>
          <t>Patenté</t>
        </is>
      </c>
      <c r="G1108" s="13" t="inlineStr">
        <is>
          <t>5110Z</t>
        </is>
      </c>
      <c r="H1108" s="13" t="inlineStr">
        <is>
          <t>S</t>
        </is>
      </c>
      <c r="I1108" s="14" t="inlineStr">
        <is>
          <t>Services</t>
        </is>
      </c>
      <c r="J1108" s="15" t="n">
        <v>0</v>
      </c>
      <c r="K1108" s="15" t="n">
        <v>1</v>
      </c>
      <c r="L1108" s="14" t="inlineStr">
        <is>
          <t>25 1095 A</t>
        </is>
      </c>
      <c r="M1108" s="14" t="inlineStr">
        <is>
          <t>M PAPA TOANUI, HENRI</t>
        </is>
      </c>
      <c r="N1108" s="14" t="inlineStr">
        <is>
          <t>Chef d entreprise</t>
        </is>
      </c>
      <c r="O1108" s="15" t="inlineStr">
        <is>
          <t>26424</t>
        </is>
      </c>
    </row>
    <row r="1109" ht="20" customHeight="1">
      <c r="A1109" s="16" t="inlineStr">
        <is>
          <t>PAEA-CCISM-1108</t>
        </is>
      </c>
      <c r="B1109" s="16" t="inlineStr">
        <is>
          <t>A25715</t>
        </is>
      </c>
      <c r="C1109" s="17" t="inlineStr">
        <is>
          <t>PARENT TENANIA</t>
        </is>
      </c>
      <c r="D1109" s="17" t="inlineStr">
        <is>
          <t>PK 22,1 C/MER 2E DER.MAG 98711 PAEA</t>
        </is>
      </c>
      <c r="E1109" s="17" t="inlineStr">
        <is>
          <t>Patenté (Personne Physique)</t>
        </is>
      </c>
      <c r="F1109" s="17" t="inlineStr">
        <is>
          <t>Patenté</t>
        </is>
      </c>
      <c r="G1109" s="16" t="inlineStr">
        <is>
          <t>5911B</t>
        </is>
      </c>
      <c r="H1109" s="16" t="inlineStr">
        <is>
          <t>S</t>
        </is>
      </c>
      <c r="I1109" s="17" t="inlineStr">
        <is>
          <t>Services</t>
        </is>
      </c>
      <c r="J1109" s="18" t="n">
        <v>0</v>
      </c>
      <c r="K1109" s="18" t="n">
        <v>1</v>
      </c>
      <c r="L1109" s="17" t="inlineStr">
        <is>
          <t>20 3028 A</t>
        </is>
      </c>
      <c r="M1109" s="17" t="inlineStr">
        <is>
          <t>M PARENT TENANIA</t>
        </is>
      </c>
      <c r="N1109" s="17" t="inlineStr">
        <is>
          <t>Chef d entreprise</t>
        </is>
      </c>
      <c r="O1109" s="18" t="inlineStr">
        <is>
          <t>26482</t>
        </is>
      </c>
    </row>
    <row r="1110" ht="20" customHeight="1">
      <c r="A1110" s="13" t="inlineStr">
        <is>
          <t>PAEA-CCISM-1109</t>
        </is>
      </c>
      <c r="B1110" s="13" t="inlineStr">
        <is>
          <t>C12776</t>
        </is>
      </c>
      <c r="C1110" s="14" t="inlineStr">
        <is>
          <t>PARISOT HARMONY CAMILLE</t>
        </is>
      </c>
      <c r="D1110" s="14" t="inlineStr">
        <is>
          <t>SERV. TITEN 98711 PAEA</t>
        </is>
      </c>
      <c r="E1110" s="14" t="inlineStr">
        <is>
          <t>Patenté (Personne Physique)</t>
        </is>
      </c>
      <c r="F1110" s="14" t="inlineStr">
        <is>
          <t>Patenté</t>
        </is>
      </c>
      <c r="G1110" s="13" t="inlineStr">
        <is>
          <t>9609Z</t>
        </is>
      </c>
      <c r="H1110" s="13" t="inlineStr">
        <is>
          <t>S</t>
        </is>
      </c>
      <c r="I1110" s="14" t="inlineStr">
        <is>
          <t>Services</t>
        </is>
      </c>
      <c r="J1110" s="15" t="n">
        <v>0</v>
      </c>
      <c r="K1110" s="15" t="n">
        <v>1</v>
      </c>
      <c r="L1110" s="14" t="inlineStr">
        <is>
          <t>16 2407 A</t>
        </is>
      </c>
      <c r="M1110" s="14" t="inlineStr">
        <is>
          <t>Mme PARISOT HARMONY CAMILLE</t>
        </is>
      </c>
      <c r="N1110" s="14" t="inlineStr">
        <is>
          <t>Chef d entreprise</t>
        </is>
      </c>
      <c r="O1110" s="15" t="inlineStr">
        <is>
          <t>26489</t>
        </is>
      </c>
    </row>
    <row r="1111" ht="20" customHeight="1">
      <c r="A1111" s="16" t="inlineStr">
        <is>
          <t>PAEA-CCISM-1110</t>
        </is>
      </c>
      <c r="B1111" s="16" t="inlineStr">
        <is>
          <t>A70604</t>
        </is>
      </c>
      <c r="C1111" s="17" t="inlineStr">
        <is>
          <t>PAULET TEVA JULIEN CARLOS</t>
        </is>
      </c>
      <c r="D1111" s="17" t="inlineStr">
        <is>
          <t>98711 PAEA</t>
        </is>
      </c>
      <c r="E1111" s="17" t="inlineStr">
        <is>
          <t>Patenté (Personne Physique)</t>
        </is>
      </c>
      <c r="F1111" s="17" t="inlineStr">
        <is>
          <t>Patenté</t>
        </is>
      </c>
      <c r="G1111" s="16" t="inlineStr">
        <is>
          <t>7721Z</t>
        </is>
      </c>
      <c r="H1111" s="16" t="inlineStr">
        <is>
          <t>S</t>
        </is>
      </c>
      <c r="I1111" s="17" t="inlineStr">
        <is>
          <t>Services</t>
        </is>
      </c>
      <c r="J1111" s="18" t="n">
        <v>0</v>
      </c>
      <c r="K1111" s="18" t="n">
        <v>1</v>
      </c>
      <c r="L1111" s="17" t="inlineStr">
        <is>
          <t>17 685 A</t>
        </is>
      </c>
      <c r="M1111" s="17" t="inlineStr">
        <is>
          <t>M PAULET TEVA JULIEN CARLOS</t>
        </is>
      </c>
      <c r="N1111" s="17" t="inlineStr">
        <is>
          <t>Chef d entreprise</t>
        </is>
      </c>
      <c r="O1111" s="18" t="inlineStr">
        <is>
          <t>26557</t>
        </is>
      </c>
    </row>
    <row r="1112" ht="20" customHeight="1">
      <c r="A1112" s="13" t="inlineStr">
        <is>
          <t>PAEA-CCISM-1111</t>
        </is>
      </c>
      <c r="B1112" s="13" t="inlineStr">
        <is>
          <t>C43219</t>
        </is>
      </c>
      <c r="C1112" s="14" t="inlineStr">
        <is>
          <t>PEARSON KAHAIA</t>
        </is>
      </c>
      <c r="D1112" s="14" t="inlineStr">
        <is>
          <t>FARE N° 2 98711 PAEA</t>
        </is>
      </c>
      <c r="E1112" s="14" t="inlineStr">
        <is>
          <t>Patenté (Personne Physique)</t>
        </is>
      </c>
      <c r="F1112" s="14" t="inlineStr">
        <is>
          <t>Patenté</t>
        </is>
      </c>
      <c r="G1112" s="13" t="inlineStr">
        <is>
          <t>5520Z</t>
        </is>
      </c>
      <c r="H1112" s="13" t="inlineStr">
        <is>
          <t>S</t>
        </is>
      </c>
      <c r="I1112" s="14" t="inlineStr">
        <is>
          <t>Services</t>
        </is>
      </c>
      <c r="J1112" s="15" t="n">
        <v>0</v>
      </c>
      <c r="K1112" s="15" t="n">
        <v>1</v>
      </c>
      <c r="L1112" s="14" t="inlineStr">
        <is>
          <t>17 1615 A</t>
        </is>
      </c>
      <c r="M1112" s="14" t="inlineStr">
        <is>
          <t>Mme PEARSON KAHAIA</t>
        </is>
      </c>
      <c r="N1112" s="14" t="inlineStr">
        <is>
          <t>Chef d entreprise</t>
        </is>
      </c>
      <c r="O1112" s="15" t="inlineStr">
        <is>
          <t>26601</t>
        </is>
      </c>
    </row>
    <row r="1113" ht="20" customHeight="1">
      <c r="A1113" s="16" t="inlineStr">
        <is>
          <t>PAEA-CCISM-1112</t>
        </is>
      </c>
      <c r="B1113" s="16" t="inlineStr">
        <is>
          <t>D91695</t>
        </is>
      </c>
      <c r="C1113" s="17" t="inlineStr">
        <is>
          <t>PEAU TERENUI STEVEN</t>
        </is>
      </c>
      <c r="D1113" s="17" t="inlineStr">
        <is>
          <t>98711 PAEA</t>
        </is>
      </c>
      <c r="E1113" s="17" t="inlineStr">
        <is>
          <t>Patenté (Personne Physique)</t>
        </is>
      </c>
      <c r="F1113" s="17" t="inlineStr">
        <is>
          <t>Patenté</t>
        </is>
      </c>
      <c r="G1113" s="16" t="inlineStr">
        <is>
          <t>7990Z</t>
        </is>
      </c>
      <c r="H1113" s="16" t="inlineStr">
        <is>
          <t>S</t>
        </is>
      </c>
      <c r="I1113" s="17" t="inlineStr">
        <is>
          <t>Services</t>
        </is>
      </c>
      <c r="J1113" s="18" t="n">
        <v>0</v>
      </c>
      <c r="K1113" s="18" t="n">
        <v>1</v>
      </c>
      <c r="L1113" s="17" t="inlineStr">
        <is>
          <t>24 221 A</t>
        </is>
      </c>
      <c r="M1113" s="17" t="inlineStr">
        <is>
          <t>M PEAU TERENUI STEVEN</t>
        </is>
      </c>
      <c r="N1113" s="17" t="inlineStr">
        <is>
          <t>Chef d entreprise</t>
        </is>
      </c>
      <c r="O1113" s="18" t="inlineStr">
        <is>
          <t>26607</t>
        </is>
      </c>
    </row>
    <row r="1114" ht="20" customHeight="1">
      <c r="A1114" s="13" t="inlineStr">
        <is>
          <t>PAEA-CCISM-1113</t>
        </is>
      </c>
      <c r="B1114" s="13" t="inlineStr">
        <is>
          <t>E28876</t>
        </is>
      </c>
      <c r="C1114" s="14" t="inlineStr">
        <is>
          <t>PELLAN NEE LAFORGA DOMINIQUE</t>
        </is>
      </c>
      <c r="D1114" s="14" t="inlineStr">
        <is>
          <t>VALLEE OROFERO QUARTIER BRILLANT 98711 PAEA</t>
        </is>
      </c>
      <c r="E1114" s="14" t="inlineStr">
        <is>
          <t>Patenté (Personne Physique)</t>
        </is>
      </c>
      <c r="F1114" s="14" t="inlineStr">
        <is>
          <t>Patenté</t>
        </is>
      </c>
      <c r="G1114" s="13" t="inlineStr">
        <is>
          <t>5520Z</t>
        </is>
      </c>
      <c r="H1114" s="13" t="inlineStr">
        <is>
          <t>S</t>
        </is>
      </c>
      <c r="I1114" s="14" t="inlineStr">
        <is>
          <t>Services</t>
        </is>
      </c>
      <c r="J1114" s="15" t="n">
        <v>0</v>
      </c>
      <c r="K1114" s="15" t="n">
        <v>1</v>
      </c>
      <c r="L1114" s="14" t="inlineStr">
        <is>
          <t>21 1524 A</t>
        </is>
      </c>
      <c r="M1114" s="14" t="inlineStr">
        <is>
          <t>Mme PELLAN (Née LAFORGA) DOMINIQUE</t>
        </is>
      </c>
      <c r="N1114" s="14" t="inlineStr">
        <is>
          <t>Chef d entreprise</t>
        </is>
      </c>
      <c r="O1114" s="15" t="inlineStr">
        <is>
          <t>26631</t>
        </is>
      </c>
    </row>
    <row r="1115" ht="20" customHeight="1">
      <c r="A1115" s="16" t="inlineStr">
        <is>
          <t>PAEA-CCISM-1114</t>
        </is>
      </c>
      <c r="B1115" s="16" t="inlineStr">
        <is>
          <t>G14849</t>
        </is>
      </c>
      <c r="C1115" s="17" t="inlineStr">
        <is>
          <t>PELLEMANS - - TEAUNA WILHELM</t>
        </is>
      </c>
      <c r="D1115" s="17" t="inlineStr">
        <is>
          <t>LOT 402 RESIDENCE LES JARDINS DE PAEA 98711 PAEA</t>
        </is>
      </c>
      <c r="E1115" s="17" t="inlineStr">
        <is>
          <t>Patenté (Personne Physique)</t>
        </is>
      </c>
      <c r="F1115" s="17" t="inlineStr">
        <is>
          <t>Patenté</t>
        </is>
      </c>
      <c r="G1115" s="16" t="inlineStr">
        <is>
          <t>5911B</t>
        </is>
      </c>
      <c r="H1115" s="16" t="inlineStr">
        <is>
          <t>S</t>
        </is>
      </c>
      <c r="I1115" s="17" t="inlineStr">
        <is>
          <t>Services</t>
        </is>
      </c>
      <c r="J1115" s="18" t="n">
        <v>0</v>
      </c>
      <c r="K1115" s="18" t="n">
        <v>1</v>
      </c>
      <c r="L1115" s="17" t="inlineStr">
        <is>
          <t>25 535 A</t>
        </is>
      </c>
      <c r="M1115" s="17" t="inlineStr">
        <is>
          <t>M PELLEMANS - - TEAUNA WILHELM</t>
        </is>
      </c>
      <c r="N1115" s="17" t="inlineStr">
        <is>
          <t>Chef d entreprise</t>
        </is>
      </c>
      <c r="O1115" s="18" t="inlineStr">
        <is>
          <t>26633</t>
        </is>
      </c>
    </row>
    <row r="1116" ht="20" customHeight="1">
      <c r="A1116" s="13" t="inlineStr">
        <is>
          <t>PAEA-CCISM-1115</t>
        </is>
      </c>
      <c r="B1116" s="13" t="inlineStr">
        <is>
          <t>D72307</t>
        </is>
      </c>
      <c r="C1116" s="14" t="inlineStr">
        <is>
          <t>PEREITAI HUBERT RAIMOANA</t>
        </is>
      </c>
      <c r="D1116" s="14" t="inlineStr">
        <is>
          <t>RTE LOTISSEMENT TEPUHAPA LOGEMENT 24 98711 PAEA</t>
        </is>
      </c>
      <c r="E1116" s="14" t="inlineStr">
        <is>
          <t>Patenté (Personne Physique)</t>
        </is>
      </c>
      <c r="F1116" s="14" t="inlineStr">
        <is>
          <t>Patenté</t>
        </is>
      </c>
      <c r="G1116" s="13" t="inlineStr">
        <is>
          <t>6201Z</t>
        </is>
      </c>
      <c r="H1116" s="13" t="inlineStr">
        <is>
          <t>S</t>
        </is>
      </c>
      <c r="I1116" s="14" t="inlineStr">
        <is>
          <t>Services</t>
        </is>
      </c>
      <c r="J1116" s="15" t="n">
        <v>0</v>
      </c>
      <c r="K1116" s="15" t="n">
        <v>1</v>
      </c>
      <c r="L1116" s="14" t="inlineStr">
        <is>
          <t>20 883 A</t>
        </is>
      </c>
      <c r="M1116" s="14" t="inlineStr">
        <is>
          <t>M PEREITAI HUBERT RAIMOANA</t>
        </is>
      </c>
      <c r="N1116" s="14" t="inlineStr">
        <is>
          <t>Chef d entreprise</t>
        </is>
      </c>
      <c r="O1116" s="15" t="inlineStr">
        <is>
          <t>26679</t>
        </is>
      </c>
    </row>
    <row r="1117" ht="20" customHeight="1">
      <c r="A1117" s="16" t="inlineStr">
        <is>
          <t>PAEA-CCISM-1116</t>
        </is>
      </c>
      <c r="B1117" s="16" t="inlineStr">
        <is>
          <t>338293</t>
        </is>
      </c>
      <c r="C1117" s="17" t="inlineStr">
        <is>
          <t>PERETTI CHARLES</t>
        </is>
      </c>
      <c r="D1117" s="17" t="inlineStr">
        <is>
          <t>APT G05 RES WHITE PLAGE DOMAINE PAPEHUE - CADASTRE AA-279 98711 PAEA</t>
        </is>
      </c>
      <c r="E1117" s="17" t="inlineStr">
        <is>
          <t>Patenté (Personne Physique)</t>
        </is>
      </c>
      <c r="F1117" s="17" t="inlineStr">
        <is>
          <t>Patenté</t>
        </is>
      </c>
      <c r="G1117" s="16" t="inlineStr">
        <is>
          <t>5520Z</t>
        </is>
      </c>
      <c r="H1117" s="16" t="inlineStr">
        <is>
          <t>S</t>
        </is>
      </c>
      <c r="I1117" s="17" t="inlineStr">
        <is>
          <t>Services</t>
        </is>
      </c>
      <c r="J1117" s="18" t="n">
        <v>0</v>
      </c>
      <c r="K1117" s="18" t="n">
        <v>1</v>
      </c>
      <c r="L1117" s="17" t="inlineStr">
        <is>
          <t>23 2434 A</t>
        </is>
      </c>
      <c r="M1117" s="17" t="inlineStr">
        <is>
          <t>M PERETTI CHARLES</t>
        </is>
      </c>
      <c r="N1117" s="17" t="inlineStr">
        <is>
          <t>Chef d entreprise</t>
        </is>
      </c>
      <c r="O1117" s="18" t="inlineStr">
        <is>
          <t>26681</t>
        </is>
      </c>
    </row>
    <row r="1118" ht="20" customHeight="1">
      <c r="A1118" s="13" t="inlineStr">
        <is>
          <t>PAEA-CCISM-1117</t>
        </is>
      </c>
      <c r="B1118" s="13" t="inlineStr">
        <is>
          <t>F30334</t>
        </is>
      </c>
      <c r="C1118" s="14" t="inlineStr">
        <is>
          <t>PICARD MATAHI, TOAREIA</t>
        </is>
      </c>
      <c r="D1118" s="14" t="inlineStr">
        <is>
          <t>98711 PAEA</t>
        </is>
      </c>
      <c r="E1118" s="14" t="inlineStr">
        <is>
          <t>Patenté (Personne Physique)</t>
        </is>
      </c>
      <c r="F1118" s="14" t="inlineStr">
        <is>
          <t>Patenté</t>
        </is>
      </c>
      <c r="G1118" s="13" t="inlineStr">
        <is>
          <t>5520Z</t>
        </is>
      </c>
      <c r="H1118" s="13" t="inlineStr">
        <is>
          <t>S</t>
        </is>
      </c>
      <c r="I1118" s="14" t="inlineStr">
        <is>
          <t>Services</t>
        </is>
      </c>
      <c r="J1118" s="15" t="n">
        <v>0</v>
      </c>
      <c r="K1118" s="15" t="n">
        <v>1</v>
      </c>
      <c r="L1118" s="14" t="inlineStr">
        <is>
          <t>23 1115 A</t>
        </is>
      </c>
      <c r="M1118" s="14" t="inlineStr">
        <is>
          <t>M PICARD MATAHI, TOAREIA</t>
        </is>
      </c>
      <c r="N1118" s="14" t="inlineStr">
        <is>
          <t>Chef d entreprise</t>
        </is>
      </c>
      <c r="O1118" s="15" t="inlineStr">
        <is>
          <t>26795</t>
        </is>
      </c>
    </row>
    <row r="1119" ht="20" customHeight="1">
      <c r="A1119" s="16" t="inlineStr">
        <is>
          <t>PAEA-CCISM-1118</t>
        </is>
      </c>
      <c r="B1119" s="16" t="inlineStr">
        <is>
          <t>D27251</t>
        </is>
      </c>
      <c r="C1119" s="17" t="inlineStr">
        <is>
          <t>PIIVAI JEAN-LUC VAITEA</t>
        </is>
      </c>
      <c r="D1119" s="17" t="inlineStr">
        <is>
          <t>QUARTIER FAGNEAUX 98711 PAEA</t>
        </is>
      </c>
      <c r="E1119" s="17" t="inlineStr">
        <is>
          <t>Patenté (Personne Physique)</t>
        </is>
      </c>
      <c r="F1119" s="17" t="inlineStr">
        <is>
          <t>Patenté</t>
        </is>
      </c>
      <c r="G1119" s="16" t="inlineStr">
        <is>
          <t>5320Z</t>
        </is>
      </c>
      <c r="H1119" s="16" t="inlineStr">
        <is>
          <t>S</t>
        </is>
      </c>
      <c r="I1119" s="17" t="inlineStr">
        <is>
          <t>Services</t>
        </is>
      </c>
      <c r="J1119" s="18" t="n">
        <v>0</v>
      </c>
      <c r="K1119" s="18" t="n">
        <v>1</v>
      </c>
      <c r="L1119" s="17" t="inlineStr">
        <is>
          <t>19 1361 A</t>
        </is>
      </c>
      <c r="M1119" s="17" t="inlineStr">
        <is>
          <t>M PIIVAI JEAN-LUC VAITEA</t>
        </is>
      </c>
      <c r="N1119" s="17" t="inlineStr">
        <is>
          <t>Chef d entreprise</t>
        </is>
      </c>
      <c r="O1119" s="18" t="inlineStr">
        <is>
          <t>26836</t>
        </is>
      </c>
    </row>
    <row r="1120" ht="20" customHeight="1">
      <c r="A1120" s="13" t="inlineStr">
        <is>
          <t>PAEA-CCISM-1119</t>
        </is>
      </c>
      <c r="B1120" s="13" t="inlineStr">
        <is>
          <t>E96030</t>
        </is>
      </c>
      <c r="C1120" s="14" t="inlineStr">
        <is>
          <t>PIRITUA HEIMATA NOELINE</t>
        </is>
      </c>
      <c r="D1120" s="14" t="inlineStr">
        <is>
          <t>QTR ROBSON 98711 PAEA</t>
        </is>
      </c>
      <c r="E1120" s="14" t="inlineStr">
        <is>
          <t>Patenté (Personne Physique)</t>
        </is>
      </c>
      <c r="F1120" s="14" t="inlineStr">
        <is>
          <t>Patenté</t>
        </is>
      </c>
      <c r="G1120" s="13" t="inlineStr">
        <is>
          <t>9609Z</t>
        </is>
      </c>
      <c r="H1120" s="13" t="inlineStr">
        <is>
          <t>S</t>
        </is>
      </c>
      <c r="I1120" s="14" t="inlineStr">
        <is>
          <t>Services</t>
        </is>
      </c>
      <c r="J1120" s="15" t="n">
        <v>0</v>
      </c>
      <c r="K1120" s="15" t="n">
        <v>1</v>
      </c>
      <c r="L1120" s="14" t="inlineStr">
        <is>
          <t>22 2519 A</t>
        </is>
      </c>
      <c r="M1120" s="14" t="inlineStr">
        <is>
          <t>Mme PIRITUA HEIMATA NOELINE</t>
        </is>
      </c>
      <c r="N1120" s="14" t="inlineStr">
        <is>
          <t>Chef d entreprise 26870 SERVICE</t>
        </is>
      </c>
      <c r="O1120" s="15" t="inlineStr"/>
    </row>
    <row r="1121" ht="20" customHeight="1">
      <c r="A1121" s="16" t="inlineStr">
        <is>
          <t>PAEA-CCISM-1120</t>
        </is>
      </c>
      <c r="B1121" s="16" t="inlineStr">
        <is>
          <t>E25526</t>
        </is>
      </c>
      <c r="C1121" s="17" t="inlineStr">
        <is>
          <t>PITO MYLENE VAIHERE</t>
        </is>
      </c>
      <c r="D1121" s="17" t="inlineStr">
        <is>
          <t>VALLEE DE OROFERO 98711 PAEA</t>
        </is>
      </c>
      <c r="E1121" s="17" t="inlineStr">
        <is>
          <t>Patenté (Personne Physique)</t>
        </is>
      </c>
      <c r="F1121" s="17" t="inlineStr">
        <is>
          <t>Patenté</t>
        </is>
      </c>
      <c r="G1121" s="16" t="inlineStr">
        <is>
          <t>9609Z</t>
        </is>
      </c>
      <c r="H1121" s="16" t="inlineStr">
        <is>
          <t>S</t>
        </is>
      </c>
      <c r="I1121" s="17" t="inlineStr">
        <is>
          <t>Services</t>
        </is>
      </c>
      <c r="J1121" s="18" t="n">
        <v>0</v>
      </c>
      <c r="K1121" s="18" t="n">
        <v>1</v>
      </c>
      <c r="L1121" s="17" t="inlineStr">
        <is>
          <t>21 1338 A</t>
        </is>
      </c>
      <c r="M1121" s="17" t="inlineStr">
        <is>
          <t>Mme PITO MYLENE VAIHERE</t>
        </is>
      </c>
      <c r="N1121" s="17" t="inlineStr">
        <is>
          <t>Chef d entreprise</t>
        </is>
      </c>
      <c r="O1121" s="18" t="inlineStr">
        <is>
          <t>26889</t>
        </is>
      </c>
    </row>
    <row r="1122" ht="20" customHeight="1">
      <c r="A1122" s="13" t="inlineStr">
        <is>
          <t>PAEA-CCISM-1121</t>
        </is>
      </c>
      <c r="B1122" s="13" t="inlineStr">
        <is>
          <t>988303</t>
        </is>
      </c>
      <c r="C1122" s="14" t="inlineStr">
        <is>
          <t>PLASSAIS SAMUEL, YVES</t>
        </is>
      </c>
      <c r="D1122" s="14" t="inlineStr">
        <is>
          <t>PAEA PK 23.400 C/MONT - LOTIS B CHAPMA 98711 PAEA</t>
        </is>
      </c>
      <c r="E1122" s="14" t="inlineStr">
        <is>
          <t>Patenté (Personne Physique)</t>
        </is>
      </c>
      <c r="F1122" s="14" t="inlineStr">
        <is>
          <t>Patenté</t>
        </is>
      </c>
      <c r="G1122" s="13" t="inlineStr">
        <is>
          <t>9609Z</t>
        </is>
      </c>
      <c r="H1122" s="13" t="inlineStr">
        <is>
          <t>S</t>
        </is>
      </c>
      <c r="I1122" s="14" t="inlineStr">
        <is>
          <t>Services</t>
        </is>
      </c>
      <c r="J1122" s="15" t="n">
        <v>0</v>
      </c>
      <c r="K1122" s="15" t="n">
        <v>1</v>
      </c>
      <c r="L1122" s="14" t="inlineStr">
        <is>
          <t>11 1042 A</t>
        </is>
      </c>
      <c r="M1122" s="14" t="inlineStr">
        <is>
          <t>M PLASSAIS SAMUEL, YVES</t>
        </is>
      </c>
      <c r="N1122" s="14" t="inlineStr">
        <is>
          <t>Chef d entreprise</t>
        </is>
      </c>
      <c r="O1122" s="15" t="inlineStr">
        <is>
          <t>26915</t>
        </is>
      </c>
    </row>
    <row r="1123" ht="20" customHeight="1">
      <c r="A1123" s="16" t="inlineStr">
        <is>
          <t>PAEA-CCISM-1122</t>
        </is>
      </c>
      <c r="B1123" s="16" t="inlineStr">
        <is>
          <t>865493</t>
        </is>
      </c>
      <c r="C1123" s="17" t="inlineStr">
        <is>
          <t>POHUE HEIANA</t>
        </is>
      </c>
      <c r="D1123" s="17" t="inlineStr">
        <is>
          <t>VALLEE OROFERO PK 21.700 C/MONT 98711 PAEA</t>
        </is>
      </c>
      <c r="E1123" s="17" t="inlineStr">
        <is>
          <t>Patenté (Personne Physique)</t>
        </is>
      </c>
      <c r="F1123" s="17" t="inlineStr">
        <is>
          <t>Patenté</t>
        </is>
      </c>
      <c r="G1123" s="16" t="inlineStr">
        <is>
          <t>4939B</t>
        </is>
      </c>
      <c r="H1123" s="16" t="inlineStr">
        <is>
          <t>S</t>
        </is>
      </c>
      <c r="I1123" s="17" t="inlineStr">
        <is>
          <t>Services</t>
        </is>
      </c>
      <c r="J1123" s="18" t="n">
        <v>0</v>
      </c>
      <c r="K1123" s="18" t="n">
        <v>1</v>
      </c>
      <c r="L1123" s="17" t="inlineStr">
        <is>
          <t>21 829 A</t>
        </is>
      </c>
      <c r="M1123" s="17" t="inlineStr">
        <is>
          <t>Mme POHUE HEIANA</t>
        </is>
      </c>
      <c r="N1123" s="17" t="inlineStr">
        <is>
          <t>Chef d entreprise</t>
        </is>
      </c>
      <c r="O1123" s="18" t="inlineStr">
        <is>
          <t>26949</t>
        </is>
      </c>
    </row>
    <row r="1124" ht="20" customHeight="1">
      <c r="A1124" s="13" t="inlineStr">
        <is>
          <t>PAEA-CCISM-1123</t>
        </is>
      </c>
      <c r="B1124" s="13" t="inlineStr">
        <is>
          <t>237198</t>
        </is>
      </c>
      <c r="C1124" s="14" t="inlineStr">
        <is>
          <t>POIRINE BERNARD</t>
        </is>
      </c>
      <c r="D1124" s="14" t="inlineStr">
        <is>
          <t>IM. WHITE PLAGE PAPEHUE LOT N°28 98711 PAEA</t>
        </is>
      </c>
      <c r="E1124" s="14" t="inlineStr">
        <is>
          <t>Patenté (Personne Physique)</t>
        </is>
      </c>
      <c r="F1124" s="14" t="inlineStr">
        <is>
          <t>Patenté</t>
        </is>
      </c>
      <c r="G1124" s="13" t="inlineStr">
        <is>
          <t>9700Z</t>
        </is>
      </c>
      <c r="H1124" s="13" t="inlineStr">
        <is>
          <t>S</t>
        </is>
      </c>
      <c r="I1124" s="14" t="inlineStr">
        <is>
          <t>Services</t>
        </is>
      </c>
      <c r="J1124" s="15" t="n">
        <v>0</v>
      </c>
      <c r="K1124" s="15" t="n">
        <v>1</v>
      </c>
      <c r="L1124" s="14" t="inlineStr">
        <is>
          <t>24 223 A</t>
        </is>
      </c>
      <c r="M1124" s="14" t="inlineStr">
        <is>
          <t>M POIRINE BERNARD</t>
        </is>
      </c>
      <c r="N1124" s="14" t="inlineStr">
        <is>
          <t>Chef d entreprise</t>
        </is>
      </c>
      <c r="O1124" s="15" t="inlineStr">
        <is>
          <t>26954</t>
        </is>
      </c>
    </row>
    <row r="1125" ht="20" customHeight="1">
      <c r="A1125" s="16" t="inlineStr">
        <is>
          <t>PAEA-CCISM-1124</t>
        </is>
      </c>
      <c r="B1125" s="16" t="inlineStr">
        <is>
          <t>B21373</t>
        </is>
      </c>
      <c r="C1125" s="17" t="inlineStr">
        <is>
          <t>POLYSTREAM</t>
        </is>
      </c>
      <c r="D1125" s="17" t="inlineStr">
        <is>
          <t>LOTISSEMENT VAITIARE 1 98711 PAEA</t>
        </is>
      </c>
      <c r="E1125" s="17" t="inlineStr">
        <is>
          <t>SARL</t>
        </is>
      </c>
      <c r="F1125" s="17" t="inlineStr">
        <is>
          <t>Société</t>
        </is>
      </c>
      <c r="G1125" s="16" t="inlineStr">
        <is>
          <t>6201Z</t>
        </is>
      </c>
      <c r="H1125" s="16" t="inlineStr">
        <is>
          <t>S</t>
        </is>
      </c>
      <c r="I1125" s="17" t="inlineStr">
        <is>
          <t>Services</t>
        </is>
      </c>
      <c r="J1125" s="18" t="n">
        <v>0</v>
      </c>
      <c r="K1125" s="18" t="n">
        <v>1</v>
      </c>
      <c r="L1125" s="17" t="inlineStr">
        <is>
          <t>14 214 B</t>
        </is>
      </c>
      <c r="M1125" s="17" t="inlineStr">
        <is>
          <t>M MINOT CHRISTIAN</t>
        </is>
      </c>
      <c r="N1125" s="17" t="inlineStr">
        <is>
          <t>Gérant</t>
        </is>
      </c>
      <c r="O1125" s="18" t="inlineStr">
        <is>
          <t>27021</t>
        </is>
      </c>
    </row>
    <row r="1126" ht="20" customHeight="1">
      <c r="A1126" s="13" t="inlineStr">
        <is>
          <t>PAEA-CCISM-1125</t>
        </is>
      </c>
      <c r="B1126" s="13" t="inlineStr">
        <is>
          <t>513341</t>
        </is>
      </c>
      <c r="C1126" s="14" t="inlineStr">
        <is>
          <t>PONTAROLLO MURIEL</t>
        </is>
      </c>
      <c r="D1126" s="14" t="inlineStr">
        <is>
          <t>QUARTIER SALMON 98711 PAEA</t>
        </is>
      </c>
      <c r="E1126" s="14" t="inlineStr">
        <is>
          <t>Patenté (Personne Physique)</t>
        </is>
      </c>
      <c r="F1126" s="14" t="inlineStr">
        <is>
          <t>Patenté</t>
        </is>
      </c>
      <c r="G1126" s="13" t="inlineStr">
        <is>
          <t>7022Z</t>
        </is>
      </c>
      <c r="H1126" s="13" t="inlineStr">
        <is>
          <t>S</t>
        </is>
      </c>
      <c r="I1126" s="14" t="inlineStr">
        <is>
          <t>Services</t>
        </is>
      </c>
      <c r="J1126" s="15" t="n">
        <v>1</v>
      </c>
      <c r="K1126" s="15" t="n">
        <v>1</v>
      </c>
      <c r="L1126" s="14" t="inlineStr">
        <is>
          <t>14 1608 A</t>
        </is>
      </c>
      <c r="M1126" s="14" t="inlineStr">
        <is>
          <t>Mme PONTAROLLO MURIEL</t>
        </is>
      </c>
      <c r="N1126" s="14" t="inlineStr">
        <is>
          <t>Chef d entreprise</t>
        </is>
      </c>
      <c r="O1126" s="15" t="inlineStr">
        <is>
          <t>27039</t>
        </is>
      </c>
    </row>
    <row r="1127" ht="20" customHeight="1">
      <c r="A1127" s="16" t="inlineStr">
        <is>
          <t>PAEA-CCISM-1126</t>
        </is>
      </c>
      <c r="B1127" s="16" t="inlineStr">
        <is>
          <t>271684</t>
        </is>
      </c>
      <c r="C1127" s="17" t="inlineStr">
        <is>
          <t>PONTINI CHRISTIAN</t>
        </is>
      </c>
      <c r="D1127" s="17" t="inlineStr">
        <is>
          <t>PAEA PK 21 C/MONT 98711 PAEA</t>
        </is>
      </c>
      <c r="E1127" s="17" t="inlineStr">
        <is>
          <t>Patenté (Personne Physique)</t>
        </is>
      </c>
      <c r="F1127" s="17" t="inlineStr">
        <is>
          <t>Patenté</t>
        </is>
      </c>
      <c r="G1127" s="16" t="inlineStr">
        <is>
          <t>7112B</t>
        </is>
      </c>
      <c r="H1127" s="16" t="inlineStr">
        <is>
          <t>S</t>
        </is>
      </c>
      <c r="I1127" s="17" t="inlineStr">
        <is>
          <t>Services</t>
        </is>
      </c>
      <c r="J1127" s="18" t="n">
        <v>0</v>
      </c>
      <c r="K1127" s="18" t="n">
        <v>1</v>
      </c>
      <c r="L1127" s="17" t="inlineStr">
        <is>
          <t>11 1633 A</t>
        </is>
      </c>
      <c r="M1127" s="17" t="inlineStr">
        <is>
          <t>M PONTINI CHRISTIAN PASCAL JEAN STANIS</t>
        </is>
      </c>
      <c r="N1127" s="17" t="inlineStr">
        <is>
          <t>Chef d entreprise</t>
        </is>
      </c>
      <c r="O1127" s="18" t="inlineStr">
        <is>
          <t>27040</t>
        </is>
      </c>
    </row>
    <row r="1128" ht="20" customHeight="1">
      <c r="A1128" s="13" t="inlineStr">
        <is>
          <t>PAEA-CCISM-1127</t>
        </is>
      </c>
      <c r="B1128" s="13" t="inlineStr">
        <is>
          <t>754341</t>
        </is>
      </c>
      <c r="C1128" s="14" t="inlineStr">
        <is>
          <t>PONTINI JENNIFER</t>
        </is>
      </c>
      <c r="D1128" s="14" t="inlineStr">
        <is>
          <t>98711 PAEA</t>
        </is>
      </c>
      <c r="E1128" s="14" t="inlineStr">
        <is>
          <t>Patenté (Personne Physique)</t>
        </is>
      </c>
      <c r="F1128" s="14" t="inlineStr">
        <is>
          <t>Patenté</t>
        </is>
      </c>
      <c r="G1128" s="13" t="inlineStr">
        <is>
          <t>7022Z</t>
        </is>
      </c>
      <c r="H1128" s="13" t="inlineStr">
        <is>
          <t>S</t>
        </is>
      </c>
      <c r="I1128" s="14" t="inlineStr">
        <is>
          <t>Services</t>
        </is>
      </c>
      <c r="J1128" s="15" t="n">
        <v>0</v>
      </c>
      <c r="K1128" s="15" t="n">
        <v>1</v>
      </c>
      <c r="L1128" s="14" t="inlineStr">
        <is>
          <t>24 2467 A</t>
        </is>
      </c>
      <c r="M1128" s="14" t="inlineStr">
        <is>
          <t>Mme PONTINI JENNIFER</t>
        </is>
      </c>
      <c r="N1128" s="14" t="inlineStr">
        <is>
          <t>Chef d entreprise</t>
        </is>
      </c>
      <c r="O1128" s="15" t="inlineStr">
        <is>
          <t>27041</t>
        </is>
      </c>
    </row>
    <row r="1129" ht="20" customHeight="1">
      <c r="A1129" s="16" t="inlineStr">
        <is>
          <t>PAEA-CCISM-1128</t>
        </is>
      </c>
      <c r="B1129" s="16" t="inlineStr">
        <is>
          <t>998393</t>
        </is>
      </c>
      <c r="C1129" s="17" t="inlineStr">
        <is>
          <t>POUPLARD CORINNE</t>
        </is>
      </c>
      <c r="D1129" s="17" t="inlineStr">
        <is>
          <t>98711 PAEA</t>
        </is>
      </c>
      <c r="E1129" s="17" t="inlineStr">
        <is>
          <t>Patenté (Personne Physique)</t>
        </is>
      </c>
      <c r="F1129" s="17" t="inlineStr">
        <is>
          <t>Patenté</t>
        </is>
      </c>
      <c r="G1129" s="16" t="inlineStr">
        <is>
          <t>5911A</t>
        </is>
      </c>
      <c r="H1129" s="16" t="inlineStr">
        <is>
          <t>S</t>
        </is>
      </c>
      <c r="I1129" s="17" t="inlineStr">
        <is>
          <t>Services</t>
        </is>
      </c>
      <c r="J1129" s="18" t="n">
        <v>0</v>
      </c>
      <c r="K1129" s="18" t="n">
        <v>1</v>
      </c>
      <c r="L1129" s="17" t="inlineStr">
        <is>
          <t>23 1762 A</t>
        </is>
      </c>
      <c r="M1129" s="17" t="inlineStr">
        <is>
          <t>Mme POUPLARD CORINNE</t>
        </is>
      </c>
      <c r="N1129" s="17" t="inlineStr">
        <is>
          <t>Chef d entreprise</t>
        </is>
      </c>
      <c r="O1129" s="18" t="inlineStr">
        <is>
          <t>27108</t>
        </is>
      </c>
    </row>
    <row r="1130" ht="20" customHeight="1">
      <c r="A1130" s="13" t="inlineStr">
        <is>
          <t>PAEA-CCISM-1129</t>
        </is>
      </c>
      <c r="B1130" s="13" t="inlineStr">
        <is>
          <t>205898</t>
        </is>
      </c>
      <c r="C1130" s="14" t="inlineStr">
        <is>
          <t>PUTOA NEE MOEINO ANNABELLA</t>
        </is>
      </c>
      <c r="D1130" s="14" t="inlineStr">
        <is>
          <t>PAEA VALLEE DE OROFERO 98711 PAEA</t>
        </is>
      </c>
      <c r="E1130" s="14" t="inlineStr">
        <is>
          <t>Patenté (Personne Physique)</t>
        </is>
      </c>
      <c r="F1130" s="14" t="inlineStr">
        <is>
          <t>Patenté</t>
        </is>
      </c>
      <c r="G1130" s="13" t="inlineStr">
        <is>
          <t>6820B</t>
        </is>
      </c>
      <c r="H1130" s="13" t="inlineStr">
        <is>
          <t>S</t>
        </is>
      </c>
      <c r="I1130" s="14" t="inlineStr">
        <is>
          <t>Services</t>
        </is>
      </c>
      <c r="J1130" s="15" t="n">
        <v>0</v>
      </c>
      <c r="K1130" s="15" t="n">
        <v>1</v>
      </c>
      <c r="L1130" s="14" t="inlineStr">
        <is>
          <t>14501 A</t>
        </is>
      </c>
      <c r="M1130" s="14" t="inlineStr">
        <is>
          <t>Mme PUTOA (Née MOEINO) ANABELLA</t>
        </is>
      </c>
      <c r="N1130" s="14" t="inlineStr">
        <is>
          <t>Chef d entreprise</t>
        </is>
      </c>
      <c r="O1130" s="15" t="inlineStr">
        <is>
          <t>27241</t>
        </is>
      </c>
    </row>
    <row r="1131" ht="20" customHeight="1">
      <c r="A1131" s="16" t="inlineStr">
        <is>
          <t>PAEA-CCISM-1130</t>
        </is>
      </c>
      <c r="B1131" s="16" t="inlineStr">
        <is>
          <t>E05999</t>
        </is>
      </c>
      <c r="C1131" s="17" t="inlineStr">
        <is>
          <t>RAMBAUD ENZO</t>
        </is>
      </c>
      <c r="D1131" s="17" t="inlineStr">
        <is>
          <t>LOTISSEMENT PUHANA 98711 PAEA</t>
        </is>
      </c>
      <c r="E1131" s="17" t="inlineStr">
        <is>
          <t>Patenté (Personne Physique)</t>
        </is>
      </c>
      <c r="F1131" s="17" t="inlineStr">
        <is>
          <t>Patenté</t>
        </is>
      </c>
      <c r="G1131" s="16" t="inlineStr">
        <is>
          <t>9604Z</t>
        </is>
      </c>
      <c r="H1131" s="16" t="inlineStr">
        <is>
          <t>S</t>
        </is>
      </c>
      <c r="I1131" s="17" t="inlineStr">
        <is>
          <t>Services</t>
        </is>
      </c>
      <c r="J1131" s="18" t="n">
        <v>0</v>
      </c>
      <c r="K1131" s="18" t="n">
        <v>1</v>
      </c>
      <c r="L1131" s="17" t="inlineStr">
        <is>
          <t>25 527 A</t>
        </is>
      </c>
      <c r="M1131" s="17" t="inlineStr">
        <is>
          <t>M RAMBAUD ENZO</t>
        </is>
      </c>
      <c r="N1131" s="17" t="inlineStr">
        <is>
          <t>Chef d entreprise</t>
        </is>
      </c>
      <c r="O1131" s="18" t="inlineStr">
        <is>
          <t>27338</t>
        </is>
      </c>
    </row>
    <row r="1132" ht="20" customHeight="1">
      <c r="A1132" s="13" t="inlineStr">
        <is>
          <t>PAEA-CCISM-1131</t>
        </is>
      </c>
      <c r="B1132" s="13" t="inlineStr">
        <is>
          <t>D63785</t>
        </is>
      </c>
      <c r="C1132" s="14" t="inlineStr">
        <is>
          <t>RAMON MAXIME</t>
        </is>
      </c>
      <c r="D1132" s="14" t="inlineStr">
        <is>
          <t>RESIDENCE LES JARDINS DE PAEA LOGT 322 98711 PAEA</t>
        </is>
      </c>
      <c r="E1132" s="14" t="inlineStr">
        <is>
          <t>Patenté (Personne Physique)</t>
        </is>
      </c>
      <c r="F1132" s="14" t="inlineStr">
        <is>
          <t>Patenté</t>
        </is>
      </c>
      <c r="G1132" s="13" t="inlineStr">
        <is>
          <t>7490A</t>
        </is>
      </c>
      <c r="H1132" s="13" t="inlineStr">
        <is>
          <t>S</t>
        </is>
      </c>
      <c r="I1132" s="14" t="inlineStr">
        <is>
          <t>Services</t>
        </is>
      </c>
      <c r="J1132" s="15" t="n">
        <v>0</v>
      </c>
      <c r="K1132" s="15" t="n">
        <v>1</v>
      </c>
      <c r="L1132" s="14" t="inlineStr">
        <is>
          <t>20534 A</t>
        </is>
      </c>
      <c r="M1132" s="14" t="inlineStr">
        <is>
          <t>M RAMON MAXIME</t>
        </is>
      </c>
      <c r="N1132" s="14" t="inlineStr">
        <is>
          <t>Chef d entreprise</t>
        </is>
      </c>
      <c r="O1132" s="15" t="inlineStr">
        <is>
          <t>27347</t>
        </is>
      </c>
    </row>
    <row r="1133" ht="20" customHeight="1">
      <c r="A1133" s="16" t="inlineStr">
        <is>
          <t>PAEA-CCISM-1132</t>
        </is>
      </c>
      <c r="B1133" s="16" t="inlineStr">
        <is>
          <t>F86732</t>
        </is>
      </c>
      <c r="C1133" s="17" t="inlineStr">
        <is>
          <t>RATIA TERIIHIOROA</t>
        </is>
      </c>
      <c r="D1133" s="17" t="inlineStr">
        <is>
          <t>98711 PAEA</t>
        </is>
      </c>
      <c r="E1133" s="17" t="inlineStr">
        <is>
          <t>Patenté (Personne Physique)</t>
        </is>
      </c>
      <c r="F1133" s="17" t="inlineStr">
        <is>
          <t>Patenté</t>
        </is>
      </c>
      <c r="G1133" s="16" t="inlineStr">
        <is>
          <t>7711A</t>
        </is>
      </c>
      <c r="H1133" s="16" t="inlineStr">
        <is>
          <t>S</t>
        </is>
      </c>
      <c r="I1133" s="17" t="inlineStr">
        <is>
          <t>Services</t>
        </is>
      </c>
      <c r="J1133" s="18" t="n">
        <v>0</v>
      </c>
      <c r="K1133" s="18" t="n">
        <v>1</v>
      </c>
      <c r="L1133" s="17" t="inlineStr">
        <is>
          <t>24 1372 A</t>
        </is>
      </c>
      <c r="M1133" s="17" t="inlineStr">
        <is>
          <t>M RATIA TERIIHIOROA</t>
        </is>
      </c>
      <c r="N1133" s="17" t="inlineStr">
        <is>
          <t>Chef d entreprise</t>
        </is>
      </c>
      <c r="O1133" s="18" t="inlineStr">
        <is>
          <t>27382</t>
        </is>
      </c>
    </row>
    <row r="1134" ht="20" customHeight="1">
      <c r="A1134" s="13" t="inlineStr">
        <is>
          <t>PAEA-CCISM-1133</t>
        </is>
      </c>
      <c r="B1134" s="13" t="inlineStr">
        <is>
          <t>848697</t>
        </is>
      </c>
      <c r="C1134" s="14" t="inlineStr">
        <is>
          <t>REIA VAITI</t>
        </is>
      </c>
      <c r="D1134" s="14" t="inlineStr">
        <is>
          <t>RTE SERVITUDE IORSS RESIDENCE TONOHAE - STUDIO N°7 98711 PAEA</t>
        </is>
      </c>
      <c r="E1134" s="14" t="inlineStr">
        <is>
          <t>Patenté (Personne Physique)</t>
        </is>
      </c>
      <c r="F1134" s="14" t="inlineStr">
        <is>
          <t>Patenté</t>
        </is>
      </c>
      <c r="G1134" s="13" t="inlineStr">
        <is>
          <t>9511Z</t>
        </is>
      </c>
      <c r="H1134" s="13" t="inlineStr">
        <is>
          <t>S</t>
        </is>
      </c>
      <c r="I1134" s="14" t="inlineStr">
        <is>
          <t>Services</t>
        </is>
      </c>
      <c r="J1134" s="15" t="n">
        <v>0</v>
      </c>
      <c r="K1134" s="15" t="n">
        <v>1</v>
      </c>
      <c r="L1134" s="14" t="inlineStr">
        <is>
          <t>15 2241 A</t>
        </is>
      </c>
      <c r="M1134" s="14" t="inlineStr">
        <is>
          <t>M REIA VAITI</t>
        </is>
      </c>
      <c r="N1134" s="14" t="inlineStr">
        <is>
          <t>Chef d entreprise</t>
        </is>
      </c>
      <c r="O1134" s="15" t="inlineStr">
        <is>
          <t>27444</t>
        </is>
      </c>
    </row>
    <row r="1135" ht="20" customHeight="1">
      <c r="A1135" s="16" t="inlineStr">
        <is>
          <t>PAEA-CCISM-1134</t>
        </is>
      </c>
      <c r="B1135" s="16" t="inlineStr">
        <is>
          <t>F53195</t>
        </is>
      </c>
      <c r="C1135" s="17" t="inlineStr">
        <is>
          <t>RESSAT HIPPOLYTE</t>
        </is>
      </c>
      <c r="D1135" s="17" t="inlineStr">
        <is>
          <t>VAITUPA LOT N.5 98711 PAEA</t>
        </is>
      </c>
      <c r="E1135" s="17" t="inlineStr">
        <is>
          <t>Patenté (Personne Physique)</t>
        </is>
      </c>
      <c r="F1135" s="17" t="inlineStr">
        <is>
          <t>Patenté</t>
        </is>
      </c>
      <c r="G1135" s="16" t="inlineStr">
        <is>
          <t>7022Z</t>
        </is>
      </c>
      <c r="H1135" s="16" t="inlineStr">
        <is>
          <t>S</t>
        </is>
      </c>
      <c r="I1135" s="17" t="inlineStr">
        <is>
          <t>Services</t>
        </is>
      </c>
      <c r="J1135" s="18" t="n">
        <v>0</v>
      </c>
      <c r="K1135" s="18" t="n">
        <v>1</v>
      </c>
      <c r="L1135" s="17" t="inlineStr">
        <is>
          <t>23 3356 A</t>
        </is>
      </c>
      <c r="M1135" s="17" t="inlineStr">
        <is>
          <t>M RESSAT HIPPOLYTE</t>
        </is>
      </c>
      <c r="N1135" s="17" t="inlineStr">
        <is>
          <t>Chef d entreprise</t>
        </is>
      </c>
      <c r="O1135" s="18" t="inlineStr">
        <is>
          <t>27489</t>
        </is>
      </c>
    </row>
    <row r="1136" ht="20" customHeight="1">
      <c r="A1136" s="13" t="inlineStr">
        <is>
          <t>PAEA-CCISM-1135</t>
        </is>
      </c>
      <c r="B1136" s="13" t="inlineStr">
        <is>
          <t>F48500</t>
        </is>
      </c>
      <c r="C1136" s="14" t="inlineStr">
        <is>
          <t>REY VAIANA</t>
        </is>
      </c>
      <c r="D1136" s="14" t="inlineStr">
        <is>
          <t>SERVITUDE FAGNEAUX 98711 PAEA</t>
        </is>
      </c>
      <c r="E1136" s="14" t="inlineStr">
        <is>
          <t>Patenté (Personne Physique)</t>
        </is>
      </c>
      <c r="F1136" s="14" t="inlineStr">
        <is>
          <t>Patenté</t>
        </is>
      </c>
      <c r="G1136" s="13" t="inlineStr">
        <is>
          <t>5912Z</t>
        </is>
      </c>
      <c r="H1136" s="13" t="inlineStr">
        <is>
          <t>S</t>
        </is>
      </c>
      <c r="I1136" s="14" t="inlineStr">
        <is>
          <t>Services</t>
        </is>
      </c>
      <c r="J1136" s="15" t="n">
        <v>0</v>
      </c>
      <c r="K1136" s="15" t="n">
        <v>1</v>
      </c>
      <c r="L1136" s="14" t="inlineStr">
        <is>
          <t>23 2322 A</t>
        </is>
      </c>
      <c r="M1136" s="14" t="inlineStr">
        <is>
          <t>Mme REY VAIANA</t>
        </is>
      </c>
      <c r="N1136" s="14" t="inlineStr">
        <is>
          <t>Chef d entreprise</t>
        </is>
      </c>
      <c r="O1136" s="15" t="inlineStr">
        <is>
          <t>27518</t>
        </is>
      </c>
    </row>
    <row r="1137" ht="20" customHeight="1">
      <c r="A1137" s="16" t="inlineStr">
        <is>
          <t>PAEA-CCISM-1136</t>
        </is>
      </c>
      <c r="B1137" s="16" t="inlineStr">
        <is>
          <t>D09168</t>
        </is>
      </c>
      <c r="C1137" s="17" t="inlineStr">
        <is>
          <t>RIEGEL ROLAND</t>
        </is>
      </c>
      <c r="D1137" s="17" t="inlineStr">
        <is>
          <t>N°236 C QUARTIER VAIAPANE 98711 PAEA</t>
        </is>
      </c>
      <c r="E1137" s="17" t="inlineStr">
        <is>
          <t>Patenté (Personne Physique)</t>
        </is>
      </c>
      <c r="F1137" s="17" t="inlineStr">
        <is>
          <t>Patenté</t>
        </is>
      </c>
      <c r="G1137" s="16" t="inlineStr">
        <is>
          <t>5520Z</t>
        </is>
      </c>
      <c r="H1137" s="16" t="inlineStr">
        <is>
          <t>S</t>
        </is>
      </c>
      <c r="I1137" s="17" t="inlineStr">
        <is>
          <t>Services</t>
        </is>
      </c>
      <c r="J1137" s="18" t="n">
        <v>0</v>
      </c>
      <c r="K1137" s="18" t="n">
        <v>1</v>
      </c>
      <c r="L1137" s="17" t="inlineStr">
        <is>
          <t>19 349 A</t>
        </is>
      </c>
      <c r="M1137" s="17" t="inlineStr">
        <is>
          <t>M RIEGEL ROLAND</t>
        </is>
      </c>
      <c r="N1137" s="17" t="inlineStr">
        <is>
          <t>Chef d entreprise</t>
        </is>
      </c>
      <c r="O1137" s="18" t="inlineStr">
        <is>
          <t>27575</t>
        </is>
      </c>
    </row>
    <row r="1138" ht="20" customHeight="1">
      <c r="A1138" s="13" t="inlineStr">
        <is>
          <t>PAEA-CCISM-1137</t>
        </is>
      </c>
      <c r="B1138" s="13" t="inlineStr">
        <is>
          <t>C66210</t>
        </is>
      </c>
      <c r="C1138" s="14" t="inlineStr">
        <is>
          <t>RISSELET PAULINE MARIE JEANNE</t>
        </is>
      </c>
      <c r="D1138" s="14" t="inlineStr">
        <is>
          <t>RTE SERVITUDE BRILLANT 98711 PAEA</t>
        </is>
      </c>
      <c r="E1138" s="14" t="inlineStr">
        <is>
          <t>Patenté (Personne Physique)</t>
        </is>
      </c>
      <c r="F1138" s="14" t="inlineStr">
        <is>
          <t>Patenté</t>
        </is>
      </c>
      <c r="G1138" s="13" t="inlineStr">
        <is>
          <t>7410Z</t>
        </is>
      </c>
      <c r="H1138" s="13" t="inlineStr">
        <is>
          <t>S</t>
        </is>
      </c>
      <c r="I1138" s="14" t="inlineStr">
        <is>
          <t>Services</t>
        </is>
      </c>
      <c r="J1138" s="15" t="n">
        <v>0</v>
      </c>
      <c r="K1138" s="15" t="n">
        <v>1</v>
      </c>
      <c r="L1138" s="14" t="inlineStr">
        <is>
          <t>18 215 A</t>
        </is>
      </c>
      <c r="M1138" s="14" t="inlineStr">
        <is>
          <t>Mme RISSELET PAULINE MARIE JEANNE</t>
        </is>
      </c>
      <c r="N1138" s="14" t="inlineStr">
        <is>
          <t>Chef d entreprise</t>
        </is>
      </c>
      <c r="O1138" s="15" t="inlineStr">
        <is>
          <t>27602</t>
        </is>
      </c>
    </row>
    <row r="1139" ht="20" customHeight="1">
      <c r="A1139" s="16" t="inlineStr">
        <is>
          <t>PAEA-CCISM-1138</t>
        </is>
      </c>
      <c r="B1139" s="16" t="inlineStr">
        <is>
          <t>E96196</t>
        </is>
      </c>
      <c r="C1139" s="17" t="inlineStr">
        <is>
          <t>ROBIN MAGALI</t>
        </is>
      </c>
      <c r="D1139" s="17" t="inlineStr">
        <is>
          <t>23 B RTE LOTISSEMENT BOURNE 98711 PAEA</t>
        </is>
      </c>
      <c r="E1139" s="17" t="inlineStr">
        <is>
          <t>Patenté (Personne Physique)</t>
        </is>
      </c>
      <c r="F1139" s="17" t="inlineStr">
        <is>
          <t>Patenté</t>
        </is>
      </c>
      <c r="G1139" s="16" t="inlineStr">
        <is>
          <t>8219Z</t>
        </is>
      </c>
      <c r="H1139" s="16" t="inlineStr">
        <is>
          <t>S</t>
        </is>
      </c>
      <c r="I1139" s="17" t="inlineStr">
        <is>
          <t>Services</t>
        </is>
      </c>
      <c r="J1139" s="18" t="n">
        <v>0</v>
      </c>
      <c r="K1139" s="18" t="n">
        <v>1</v>
      </c>
      <c r="L1139" s="17" t="inlineStr">
        <is>
          <t>22 2482 A</t>
        </is>
      </c>
      <c r="M1139" s="17" t="inlineStr">
        <is>
          <t>Mme ROBIN MAGALI</t>
        </is>
      </c>
      <c r="N1139" s="17" t="inlineStr">
        <is>
          <t>Chef d entreprise 27638 SERVICE</t>
        </is>
      </c>
      <c r="O1139" s="18" t="inlineStr"/>
    </row>
    <row r="1140" ht="20" customHeight="1">
      <c r="A1140" s="13" t="inlineStr">
        <is>
          <t>PAEA-CCISM-1139</t>
        </is>
      </c>
      <c r="B1140" s="13" t="inlineStr">
        <is>
          <t>B06358</t>
        </is>
      </c>
      <c r="C1140" s="14" t="inlineStr">
        <is>
          <t>ROBSON ADRIEN MARURAI</t>
        </is>
      </c>
      <c r="D1140" s="14" t="inlineStr">
        <is>
          <t>QUA ROBSON 98711 PAEA</t>
        </is>
      </c>
      <c r="E1140" s="14" t="inlineStr">
        <is>
          <t>Patenté (Personne Physique)</t>
        </is>
      </c>
      <c r="F1140" s="14" t="inlineStr">
        <is>
          <t>Patenté</t>
        </is>
      </c>
      <c r="G1140" s="13" t="inlineStr">
        <is>
          <t>4941B</t>
        </is>
      </c>
      <c r="H1140" s="13" t="inlineStr">
        <is>
          <t>S</t>
        </is>
      </c>
      <c r="I1140" s="14" t="inlineStr">
        <is>
          <t>Services</t>
        </is>
      </c>
      <c r="J1140" s="15" t="n">
        <v>0</v>
      </c>
      <c r="K1140" s="15" t="n">
        <v>1</v>
      </c>
      <c r="L1140" s="14" t="inlineStr">
        <is>
          <t>18 2016 A</t>
        </is>
      </c>
      <c r="M1140" s="14" t="inlineStr">
        <is>
          <t>M ROBSON ADRIEN MARURAI</t>
        </is>
      </c>
      <c r="N1140" s="14" t="inlineStr">
        <is>
          <t>Chef d entreprise</t>
        </is>
      </c>
      <c r="O1140" s="15" t="inlineStr">
        <is>
          <t>27644</t>
        </is>
      </c>
    </row>
    <row r="1141" ht="20" customHeight="1">
      <c r="A1141" s="16" t="inlineStr">
        <is>
          <t>PAEA-CCISM-1140</t>
        </is>
      </c>
      <c r="B1141" s="16" t="inlineStr">
        <is>
          <t>F60539</t>
        </is>
      </c>
      <c r="C1141" s="17" t="inlineStr">
        <is>
          <t>ROBSON NEE PARAU URAITEMANU</t>
        </is>
      </c>
      <c r="D1141" s="17" t="inlineStr">
        <is>
          <t>98711 PAEA</t>
        </is>
      </c>
      <c r="E1141" s="17" t="inlineStr">
        <is>
          <t>Patenté (Personne Physique)</t>
        </is>
      </c>
      <c r="F1141" s="17" t="inlineStr">
        <is>
          <t>Patenté</t>
        </is>
      </c>
      <c r="G1141" s="16" t="inlineStr">
        <is>
          <t>7739Z</t>
        </is>
      </c>
      <c r="H1141" s="16" t="inlineStr">
        <is>
          <t>S</t>
        </is>
      </c>
      <c r="I1141" s="17" t="inlineStr">
        <is>
          <t>Services</t>
        </is>
      </c>
      <c r="J1141" s="18" t="n">
        <v>0</v>
      </c>
      <c r="K1141" s="18" t="n">
        <v>1</v>
      </c>
      <c r="L1141" s="17" t="inlineStr">
        <is>
          <t>23 3325 A</t>
        </is>
      </c>
      <c r="M1141" s="17" t="inlineStr">
        <is>
          <t>Mme ROBSON (Née PARAU) URAITEMANU</t>
        </is>
      </c>
      <c r="N1141" s="17" t="inlineStr">
        <is>
          <t>Chef d entreprise</t>
        </is>
      </c>
      <c r="O1141" s="18" t="inlineStr">
        <is>
          <t>27648</t>
        </is>
      </c>
    </row>
    <row r="1142" ht="20" customHeight="1">
      <c r="A1142" s="13" t="inlineStr">
        <is>
          <t>PAEA-CCISM-1141</t>
        </is>
      </c>
      <c r="B1142" s="13" t="inlineStr">
        <is>
          <t>396887</t>
        </is>
      </c>
      <c r="C1142" s="14" t="inlineStr">
        <is>
          <t>RODRIGUEZ-ACETION ROBERTO</t>
        </is>
      </c>
      <c r="D1142" s="14" t="inlineStr">
        <is>
          <t>PAEA PK 19.200 C/MR 98711 PAEA</t>
        </is>
      </c>
      <c r="E1142" s="14" t="inlineStr">
        <is>
          <t>Patenté (Personne Physique)</t>
        </is>
      </c>
      <c r="F1142" s="14" t="inlineStr">
        <is>
          <t>Patenté</t>
        </is>
      </c>
      <c r="G1142" s="13" t="inlineStr">
        <is>
          <t>7111Z</t>
        </is>
      </c>
      <c r="H1142" s="13" t="inlineStr">
        <is>
          <t>S</t>
        </is>
      </c>
      <c r="I1142" s="14" t="inlineStr">
        <is>
          <t>Services</t>
        </is>
      </c>
      <c r="J1142" s="15" t="n">
        <v>0</v>
      </c>
      <c r="K1142" s="15" t="n">
        <v>1</v>
      </c>
      <c r="L1142" s="14" t="inlineStr">
        <is>
          <t>27078 A</t>
        </is>
      </c>
      <c r="M1142" s="14" t="inlineStr">
        <is>
          <t>M RODRIGUEZ-ACETION ROBERTO</t>
        </is>
      </c>
      <c r="N1142" s="14" t="inlineStr">
        <is>
          <t>Chef d entreprise</t>
        </is>
      </c>
      <c r="O1142" s="15" t="inlineStr">
        <is>
          <t>27682</t>
        </is>
      </c>
    </row>
    <row r="1143" ht="20" customHeight="1">
      <c r="A1143" s="16" t="inlineStr">
        <is>
          <t>PAEA-CCISM-1142</t>
        </is>
      </c>
      <c r="B1143" s="16" t="inlineStr">
        <is>
          <t>D98856</t>
        </is>
      </c>
      <c r="C1143" s="17" t="inlineStr">
        <is>
          <t>ROESLER NEE CUGNET CLAUDINE, ELISABETH</t>
        </is>
      </c>
      <c r="D1143" s="17" t="inlineStr">
        <is>
          <t>VALLEE OROFERO LOT 3 - DOMAINE MAHUTATUA 98711 PAEA</t>
        </is>
      </c>
      <c r="E1143" s="17" t="inlineStr">
        <is>
          <t>Patenté (Personne Physique)</t>
        </is>
      </c>
      <c r="F1143" s="17" t="inlineStr">
        <is>
          <t>Patenté</t>
        </is>
      </c>
      <c r="G1143" s="16" t="inlineStr">
        <is>
          <t>9609Z</t>
        </is>
      </c>
      <c r="H1143" s="16" t="inlineStr">
        <is>
          <t>S</t>
        </is>
      </c>
      <c r="I1143" s="17" t="inlineStr">
        <is>
          <t>Services</t>
        </is>
      </c>
      <c r="J1143" s="18" t="n">
        <v>0</v>
      </c>
      <c r="K1143" s="18" t="n">
        <v>1</v>
      </c>
      <c r="L1143" s="17" t="inlineStr">
        <is>
          <t>20 2583 A</t>
        </is>
      </c>
      <c r="M1143" s="17" t="inlineStr">
        <is>
          <t>Mme ROESLER (Née CUGNET) CLAUDINE, ELISABETH</t>
        </is>
      </c>
      <c r="N1143" s="17" t="inlineStr">
        <is>
          <t>Chef d entreprise</t>
        </is>
      </c>
      <c r="O1143" s="18" t="inlineStr">
        <is>
          <t>27684</t>
        </is>
      </c>
    </row>
    <row r="1144" ht="20" customHeight="1">
      <c r="A1144" s="13" t="inlineStr">
        <is>
          <t>PAEA-CCISM-1143</t>
        </is>
      </c>
      <c r="B1144" s="13" t="inlineStr">
        <is>
          <t>338400</t>
        </is>
      </c>
      <c r="C1144" s="14" t="inlineStr">
        <is>
          <t>ROO NEE HAUATA-TAHIATA JOCELINE</t>
        </is>
      </c>
      <c r="D1144" s="14" t="inlineStr">
        <is>
          <t>SERV. TAPUTUARAI 98711 PAEA</t>
        </is>
      </c>
      <c r="E1144" s="14" t="inlineStr">
        <is>
          <t>Patenté (Personne Physique)</t>
        </is>
      </c>
      <c r="F1144" s="14" t="inlineStr">
        <is>
          <t>Patenté</t>
        </is>
      </c>
      <c r="G1144" s="13" t="inlineStr">
        <is>
          <t>8810A</t>
        </is>
      </c>
      <c r="H1144" s="13" t="inlineStr">
        <is>
          <t>S</t>
        </is>
      </c>
      <c r="I1144" s="14" t="inlineStr">
        <is>
          <t>Services</t>
        </is>
      </c>
      <c r="J1144" s="15" t="n">
        <v>0</v>
      </c>
      <c r="K1144" s="15" t="n">
        <v>1</v>
      </c>
      <c r="L1144" s="14" t="inlineStr">
        <is>
          <t>11 1788 A</t>
        </is>
      </c>
      <c r="M1144" s="14" t="inlineStr">
        <is>
          <t>Mme ROO (Née HAUATA-TAHIATA) JOCELINE</t>
        </is>
      </c>
      <c r="N1144" s="14" t="inlineStr">
        <is>
          <t>Chef d entreprise</t>
        </is>
      </c>
      <c r="O1144" s="15" t="inlineStr">
        <is>
          <t>27715</t>
        </is>
      </c>
    </row>
    <row r="1145" ht="20" customHeight="1">
      <c r="A1145" s="16" t="inlineStr">
        <is>
          <t>PAEA-CCISM-1144</t>
        </is>
      </c>
      <c r="B1145" s="16" t="inlineStr">
        <is>
          <t>G25092</t>
        </is>
      </c>
      <c r="C1145" s="17" t="inlineStr">
        <is>
          <t>ROOMATAAROA MARTIN</t>
        </is>
      </c>
      <c r="D1145" s="17" t="inlineStr">
        <is>
          <t>LOT 49 RTE LOTISSEMENT TEPUHAPA 98711 PAEA</t>
        </is>
      </c>
      <c r="E1145" s="17" t="inlineStr">
        <is>
          <t>Patenté (Personne Physique)</t>
        </is>
      </c>
      <c r="F1145" s="17" t="inlineStr">
        <is>
          <t>Patenté</t>
        </is>
      </c>
      <c r="G1145" s="16" t="inlineStr">
        <is>
          <t>8129B</t>
        </is>
      </c>
      <c r="H1145" s="16" t="inlineStr">
        <is>
          <t>S</t>
        </is>
      </c>
      <c r="I1145" s="17" t="inlineStr">
        <is>
          <t>Services</t>
        </is>
      </c>
      <c r="J1145" s="18" t="n">
        <v>0</v>
      </c>
      <c r="K1145" s="18" t="n">
        <v>1</v>
      </c>
      <c r="L1145" s="17" t="inlineStr">
        <is>
          <t>25 1004 A</t>
        </is>
      </c>
      <c r="M1145" s="17" t="inlineStr">
        <is>
          <t>M ROOMATAAROA MARTIN</t>
        </is>
      </c>
      <c r="N1145" s="17" t="inlineStr">
        <is>
          <t>Chef d entreprise</t>
        </is>
      </c>
      <c r="O1145" s="18" t="inlineStr">
        <is>
          <t>27720</t>
        </is>
      </c>
    </row>
    <row r="1146" ht="20" customHeight="1">
      <c r="A1146" s="13" t="inlineStr">
        <is>
          <t>PAEA-CCISM-1145</t>
        </is>
      </c>
      <c r="B1146" s="13" t="inlineStr">
        <is>
          <t>E75154</t>
        </is>
      </c>
      <c r="C1146" s="14" t="inlineStr">
        <is>
          <t>ROSSI THIERRY</t>
        </is>
      </c>
      <c r="D1146" s="14" t="inlineStr">
        <is>
          <t>PK 19.5 C/MER 98711 PAEA</t>
        </is>
      </c>
      <c r="E1146" s="14" t="inlineStr">
        <is>
          <t>Patenté (Personne Physique)</t>
        </is>
      </c>
      <c r="F1146" s="14" t="inlineStr">
        <is>
          <t>Patenté</t>
        </is>
      </c>
      <c r="G1146" s="13" t="inlineStr">
        <is>
          <t>5520Z</t>
        </is>
      </c>
      <c r="H1146" s="13" t="inlineStr">
        <is>
          <t>S</t>
        </is>
      </c>
      <c r="I1146" s="14" t="inlineStr">
        <is>
          <t>Services</t>
        </is>
      </c>
      <c r="J1146" s="15" t="n">
        <v>0</v>
      </c>
      <c r="K1146" s="15" t="n">
        <v>1</v>
      </c>
      <c r="L1146" s="14" t="inlineStr">
        <is>
          <t>22 1043 A</t>
        </is>
      </c>
      <c r="M1146" s="14" t="inlineStr">
        <is>
          <t>M ROSSI THIERRY</t>
        </is>
      </c>
      <c r="N1146" s="14" t="inlineStr">
        <is>
          <t>Chef d entreprise</t>
        </is>
      </c>
      <c r="O1146" s="15" t="inlineStr">
        <is>
          <t>27759</t>
        </is>
      </c>
    </row>
    <row r="1147" ht="20" customHeight="1">
      <c r="A1147" s="16" t="inlineStr">
        <is>
          <t>PAEA-CCISM-1146</t>
        </is>
      </c>
      <c r="B1147" s="16" t="inlineStr">
        <is>
          <t>748574</t>
        </is>
      </c>
      <c r="C1147" s="17" t="inlineStr">
        <is>
          <t>ROTTIER HELENE MARIE</t>
        </is>
      </c>
      <c r="D1147" s="17" t="inlineStr">
        <is>
          <t>98711 PAEA</t>
        </is>
      </c>
      <c r="E1147" s="17" t="inlineStr">
        <is>
          <t>Patenté (Personne Physique)</t>
        </is>
      </c>
      <c r="F1147" s="17" t="inlineStr">
        <is>
          <t>Patenté</t>
        </is>
      </c>
      <c r="G1147" s="16" t="inlineStr">
        <is>
          <t>8219Z</t>
        </is>
      </c>
      <c r="H1147" s="16" t="inlineStr">
        <is>
          <t>S</t>
        </is>
      </c>
      <c r="I1147" s="17" t="inlineStr">
        <is>
          <t>Services</t>
        </is>
      </c>
      <c r="J1147" s="18" t="n">
        <v>0</v>
      </c>
      <c r="K1147" s="18" t="n">
        <v>1</v>
      </c>
      <c r="L1147" s="17" t="inlineStr">
        <is>
          <t>16 1724 A</t>
        </is>
      </c>
      <c r="M1147" s="17" t="inlineStr">
        <is>
          <t>Mme ROTTIER HELENE MARIE</t>
        </is>
      </c>
      <c r="N1147" s="17" t="inlineStr">
        <is>
          <t>Chef d entreprise</t>
        </is>
      </c>
      <c r="O1147" s="18" t="inlineStr">
        <is>
          <t>27768</t>
        </is>
      </c>
    </row>
    <row r="1148" ht="20" customHeight="1">
      <c r="A1148" s="13" t="inlineStr">
        <is>
          <t>PAEA-CCISM-1147</t>
        </is>
      </c>
      <c r="B1148" s="13" t="inlineStr">
        <is>
          <t>969980</t>
        </is>
      </c>
      <c r="C1148" s="14" t="inlineStr">
        <is>
          <t>ROUBAUDI EVELYNE ANDREE</t>
        </is>
      </c>
      <c r="D1148" s="14" t="inlineStr">
        <is>
          <t>PAEA PK 19.500 C/MONT - RICHMOND 98711 PAEA</t>
        </is>
      </c>
      <c r="E1148" s="14" t="inlineStr">
        <is>
          <t>Patenté (Personne Physique)</t>
        </is>
      </c>
      <c r="F1148" s="14" t="inlineStr">
        <is>
          <t>Patenté</t>
        </is>
      </c>
      <c r="G1148" s="13" t="inlineStr">
        <is>
          <t>9609Z</t>
        </is>
      </c>
      <c r="H1148" s="13" t="inlineStr">
        <is>
          <t>S</t>
        </is>
      </c>
      <c r="I1148" s="14" t="inlineStr">
        <is>
          <t>Services</t>
        </is>
      </c>
      <c r="J1148" s="15" t="n">
        <v>0</v>
      </c>
      <c r="K1148" s="15" t="n">
        <v>1</v>
      </c>
      <c r="L1148" s="14" t="inlineStr">
        <is>
          <t>11 62 A</t>
        </is>
      </c>
      <c r="M1148" s="14" t="inlineStr">
        <is>
          <t>Mme ROUBAUDI EVELYNE ANDREE</t>
        </is>
      </c>
      <c r="N1148" s="14" t="inlineStr">
        <is>
          <t>Chef d entreprise</t>
        </is>
      </c>
      <c r="O1148" s="15" t="inlineStr">
        <is>
          <t>27771</t>
        </is>
      </c>
    </row>
    <row r="1149" ht="20" customHeight="1">
      <c r="A1149" s="16" t="inlineStr">
        <is>
          <t>PAEA-CCISM-1148</t>
        </is>
      </c>
      <c r="B1149" s="16" t="inlineStr">
        <is>
          <t>D66135</t>
        </is>
      </c>
      <c r="C1149" s="17" t="inlineStr">
        <is>
          <t>ROUXEL ARNAUD, REYNOLDS</t>
        </is>
      </c>
      <c r="D1149" s="17" t="inlineStr">
        <is>
          <t>LOT 426 RTE RESIDENCE LES JARDINS DE PAEA APT 326 98711 PAEA</t>
        </is>
      </c>
      <c r="E1149" s="17" t="inlineStr">
        <is>
          <t>Patenté (Personne Physique)</t>
        </is>
      </c>
      <c r="F1149" s="17" t="inlineStr">
        <is>
          <t>Patenté</t>
        </is>
      </c>
      <c r="G1149" s="16" t="inlineStr">
        <is>
          <t>7410Z</t>
        </is>
      </c>
      <c r="H1149" s="16" t="inlineStr">
        <is>
          <t>S</t>
        </is>
      </c>
      <c r="I1149" s="17" t="inlineStr">
        <is>
          <t>Services</t>
        </is>
      </c>
      <c r="J1149" s="18" t="n">
        <v>0</v>
      </c>
      <c r="K1149" s="18" t="n">
        <v>1</v>
      </c>
      <c r="L1149" s="17" t="inlineStr">
        <is>
          <t>20 624 A</t>
        </is>
      </c>
      <c r="M1149" s="17" t="inlineStr">
        <is>
          <t>M ROUXEL ARNAUD, REYNOLDS</t>
        </is>
      </c>
      <c r="N1149" s="17" t="inlineStr">
        <is>
          <t>Chef d entreprise</t>
        </is>
      </c>
      <c r="O1149" s="18" t="inlineStr">
        <is>
          <t>27805</t>
        </is>
      </c>
    </row>
    <row r="1150" ht="20" customHeight="1">
      <c r="A1150" s="13" t="inlineStr">
        <is>
          <t>PAEA-CCISM-1149</t>
        </is>
      </c>
      <c r="B1150" s="13" t="inlineStr">
        <is>
          <t>E02228</t>
        </is>
      </c>
      <c r="C1150" s="14" t="inlineStr">
        <is>
          <t>RS CONCEPTION</t>
        </is>
      </c>
      <c r="D1150" s="14" t="inlineStr">
        <is>
          <t>PK 26,400 CT/MER BP 330613 98711 PAEA</t>
        </is>
      </c>
      <c r="E1150" s="14" t="inlineStr">
        <is>
          <t>SARL Unipersonnelle</t>
        </is>
      </c>
      <c r="F1150" s="14" t="inlineStr">
        <is>
          <t>Société</t>
        </is>
      </c>
      <c r="G1150" s="13" t="inlineStr">
        <is>
          <t>7410Z</t>
        </is>
      </c>
      <c r="H1150" s="13" t="inlineStr">
        <is>
          <t>S</t>
        </is>
      </c>
      <c r="I1150" s="14" t="inlineStr">
        <is>
          <t>Services</t>
        </is>
      </c>
      <c r="J1150" s="15" t="n">
        <v>0</v>
      </c>
      <c r="K1150" s="15" t="n">
        <v>1</v>
      </c>
      <c r="L1150" s="14" t="inlineStr">
        <is>
          <t>20 352 B</t>
        </is>
      </c>
      <c r="M1150" s="14" t="inlineStr">
        <is>
          <t>M SZATAPSKI REYNALD</t>
        </is>
      </c>
      <c r="N1150" s="14" t="inlineStr">
        <is>
          <t>Gérant</t>
        </is>
      </c>
      <c r="O1150" s="15" t="inlineStr">
        <is>
          <t>27820</t>
        </is>
      </c>
    </row>
    <row r="1151" ht="20" customHeight="1">
      <c r="A1151" s="16" t="inlineStr">
        <is>
          <t>PAEA-CCISM-1150</t>
        </is>
      </c>
      <c r="B1151" s="16" t="inlineStr">
        <is>
          <t>E62214</t>
        </is>
      </c>
      <c r="C1151" s="17" t="inlineStr">
        <is>
          <t>RUYSSCHAERT BAPTISTE</t>
        </is>
      </c>
      <c r="D1151" s="17" t="inlineStr">
        <is>
          <t>QUARTIER VAIATU VALLÉE DE VAITUPA 98711 PAEA</t>
        </is>
      </c>
      <c r="E1151" s="17" t="inlineStr">
        <is>
          <t>Patenté (Personne Physique)</t>
        </is>
      </c>
      <c r="F1151" s="17" t="inlineStr">
        <is>
          <t>Patenté</t>
        </is>
      </c>
      <c r="G1151" s="16" t="inlineStr">
        <is>
          <t>5520Z</t>
        </is>
      </c>
      <c r="H1151" s="16" t="inlineStr">
        <is>
          <t>S</t>
        </is>
      </c>
      <c r="I1151" s="17" t="inlineStr">
        <is>
          <t>Services</t>
        </is>
      </c>
      <c r="J1151" s="18" t="n">
        <v>0</v>
      </c>
      <c r="K1151" s="18" t="n">
        <v>1</v>
      </c>
      <c r="L1151" s="17" t="inlineStr">
        <is>
          <t>22 1471 A</t>
        </is>
      </c>
      <c r="M1151" s="17" t="inlineStr">
        <is>
          <t>M RUYSSCHAERT BAPTISTE</t>
        </is>
      </c>
      <c r="N1151" s="17" t="inlineStr">
        <is>
          <t>Chef d entreprise</t>
        </is>
      </c>
      <c r="O1151" s="18" t="inlineStr">
        <is>
          <t>27858</t>
        </is>
      </c>
    </row>
    <row r="1152" ht="20" customHeight="1">
      <c r="A1152" s="13" t="inlineStr">
        <is>
          <t>PAEA-CCISM-1151</t>
        </is>
      </c>
      <c r="B1152" s="13" t="inlineStr">
        <is>
          <t>D76183</t>
        </is>
      </c>
      <c r="C1152" s="14" t="inlineStr">
        <is>
          <t>SALANSON ALICE</t>
        </is>
      </c>
      <c r="D1152" s="14" t="inlineStr">
        <is>
          <t>RTE SERVITUDE BRILLANT 1 98711 PAEA</t>
        </is>
      </c>
      <c r="E1152" s="14" t="inlineStr">
        <is>
          <t>Patenté (Personne Physique)</t>
        </is>
      </c>
      <c r="F1152" s="14" t="inlineStr">
        <is>
          <t>Patenté</t>
        </is>
      </c>
      <c r="G1152" s="13" t="inlineStr">
        <is>
          <t>9609Z</t>
        </is>
      </c>
      <c r="H1152" s="13" t="inlineStr">
        <is>
          <t>S</t>
        </is>
      </c>
      <c r="I1152" s="14" t="inlineStr">
        <is>
          <t>Services</t>
        </is>
      </c>
      <c r="J1152" s="15" t="n">
        <v>0</v>
      </c>
      <c r="K1152" s="15" t="n">
        <v>1</v>
      </c>
      <c r="L1152" s="14" t="inlineStr">
        <is>
          <t>23 230 A</t>
        </is>
      </c>
      <c r="M1152" s="14" t="inlineStr">
        <is>
          <t>Mme SALANSON ALICE</t>
        </is>
      </c>
      <c r="N1152" s="14" t="inlineStr">
        <is>
          <t>Chef d entreprise</t>
        </is>
      </c>
      <c r="O1152" s="15" t="inlineStr">
        <is>
          <t>27906</t>
        </is>
      </c>
    </row>
    <row r="1153" ht="20" customHeight="1">
      <c r="A1153" s="16" t="inlineStr">
        <is>
          <t>PAEA-CCISM-1152</t>
        </is>
      </c>
      <c r="B1153" s="16" t="inlineStr">
        <is>
          <t>C33178</t>
        </is>
      </c>
      <c r="C1153" s="17" t="inlineStr">
        <is>
          <t>SALMON GILLES UEVA</t>
        </is>
      </c>
      <c r="D1153" s="17" t="inlineStr">
        <is>
          <t>98711 PAEA</t>
        </is>
      </c>
      <c r="E1153" s="17" t="inlineStr">
        <is>
          <t>Patenté (Personne Physique)</t>
        </is>
      </c>
      <c r="F1153" s="17" t="inlineStr">
        <is>
          <t>Patenté</t>
        </is>
      </c>
      <c r="G1153" s="16" t="inlineStr">
        <is>
          <t>9609Z</t>
        </is>
      </c>
      <c r="H1153" s="16" t="inlineStr">
        <is>
          <t>S</t>
        </is>
      </c>
      <c r="I1153" s="17" t="inlineStr">
        <is>
          <t>Services</t>
        </is>
      </c>
      <c r="J1153" s="18" t="n">
        <v>0</v>
      </c>
      <c r="K1153" s="18" t="n">
        <v>1</v>
      </c>
      <c r="L1153" s="17" t="inlineStr">
        <is>
          <t>17 824 A</t>
        </is>
      </c>
      <c r="M1153" s="17" t="inlineStr">
        <is>
          <t>M SALMON GILLES UEVA</t>
        </is>
      </c>
      <c r="N1153" s="17" t="inlineStr">
        <is>
          <t>Chef d entreprise</t>
        </is>
      </c>
      <c r="O1153" s="18" t="inlineStr">
        <is>
          <t>27921</t>
        </is>
      </c>
    </row>
    <row r="1154" ht="20" customHeight="1">
      <c r="A1154" s="13" t="inlineStr">
        <is>
          <t>PAEA-CCISM-1153</t>
        </is>
      </c>
      <c r="B1154" s="13" t="inlineStr">
        <is>
          <t>944058</t>
        </is>
      </c>
      <c r="C1154" s="14" t="inlineStr">
        <is>
          <t>SALMON NEE ARIIOEHAU MAHANA</t>
        </is>
      </c>
      <c r="D1154" s="14" t="inlineStr">
        <is>
          <t>SERVITUDE ATIVAVAU 1 N° 16 98711 PAEA</t>
        </is>
      </c>
      <c r="E1154" s="14" t="inlineStr">
        <is>
          <t>Patenté (Personne Physique)</t>
        </is>
      </c>
      <c r="F1154" s="14" t="inlineStr">
        <is>
          <t>Patenté</t>
        </is>
      </c>
      <c r="G1154" s="13" t="inlineStr">
        <is>
          <t>9609Z</t>
        </is>
      </c>
      <c r="H1154" s="13" t="inlineStr">
        <is>
          <t>S</t>
        </is>
      </c>
      <c r="I1154" s="14" t="inlineStr">
        <is>
          <t>Services</t>
        </is>
      </c>
      <c r="J1154" s="15" t="n">
        <v>0</v>
      </c>
      <c r="K1154" s="15" t="n">
        <v>1</v>
      </c>
      <c r="L1154" s="14" t="inlineStr">
        <is>
          <t>24 2032 A</t>
        </is>
      </c>
      <c r="M1154" s="14" t="inlineStr">
        <is>
          <t>Mme SALMON (Née ARIIOEHAU) MAHANA</t>
        </is>
      </c>
      <c r="N1154" s="14" t="inlineStr">
        <is>
          <t>Chef d entreprise</t>
        </is>
      </c>
      <c r="O1154" s="15" t="inlineStr">
        <is>
          <t>27934</t>
        </is>
      </c>
    </row>
    <row r="1155" ht="20" customHeight="1">
      <c r="A1155" s="16" t="inlineStr">
        <is>
          <t>PAEA-CCISM-1154</t>
        </is>
      </c>
      <c r="B1155" s="16" t="inlineStr">
        <is>
          <t>F02697</t>
        </is>
      </c>
      <c r="C1155" s="17" t="inlineStr">
        <is>
          <t>SALMON NEE HUNTER MELIA</t>
        </is>
      </c>
      <c r="D1155" s="17" t="inlineStr">
        <is>
          <t>VALLEE OROFERO 98711 PAEA</t>
        </is>
      </c>
      <c r="E1155" s="17" t="inlineStr">
        <is>
          <t>Patenté (Personne Physique)</t>
        </is>
      </c>
      <c r="F1155" s="17" t="inlineStr">
        <is>
          <t>Patenté</t>
        </is>
      </c>
      <c r="G1155" s="16" t="inlineStr">
        <is>
          <t>8559B</t>
        </is>
      </c>
      <c r="H1155" s="16" t="inlineStr">
        <is>
          <t>S</t>
        </is>
      </c>
      <c r="I1155" s="17" t="inlineStr">
        <is>
          <t>Services</t>
        </is>
      </c>
      <c r="J1155" s="18" t="n">
        <v>0</v>
      </c>
      <c r="K1155" s="18" t="n">
        <v>1</v>
      </c>
      <c r="L1155" s="17" t="inlineStr">
        <is>
          <t>22 2897 A</t>
        </is>
      </c>
      <c r="M1155" s="17" t="inlineStr">
        <is>
          <t>Mme SALMON (Née HUNTER) MELIA</t>
        </is>
      </c>
      <c r="N1155" s="17" t="inlineStr">
        <is>
          <t>Chef d entreprise</t>
        </is>
      </c>
      <c r="O1155" s="18" t="inlineStr">
        <is>
          <t>27936</t>
        </is>
      </c>
    </row>
    <row r="1156" ht="20" customHeight="1">
      <c r="A1156" s="13" t="inlineStr">
        <is>
          <t>PAEA-CCISM-1155</t>
        </is>
      </c>
      <c r="B1156" s="13" t="inlineStr">
        <is>
          <t>F74134</t>
        </is>
      </c>
      <c r="C1156" s="14" t="inlineStr">
        <is>
          <t>SALT ADVENTURES</t>
        </is>
      </c>
      <c r="D1156" s="14" t="inlineStr">
        <is>
          <t>SERVITUDE VAIERI 98711 PAEA</t>
        </is>
      </c>
      <c r="E1156" s="14" t="inlineStr">
        <is>
          <t>SARL</t>
        </is>
      </c>
      <c r="F1156" s="14" t="inlineStr">
        <is>
          <t>Société</t>
        </is>
      </c>
      <c r="G1156" s="13" t="inlineStr">
        <is>
          <t>7721Z</t>
        </is>
      </c>
      <c r="H1156" s="13" t="inlineStr">
        <is>
          <t>S</t>
        </is>
      </c>
      <c r="I1156" s="14" t="inlineStr">
        <is>
          <t>Services</t>
        </is>
      </c>
      <c r="J1156" s="15" t="n">
        <v>0</v>
      </c>
      <c r="K1156" s="15" t="n">
        <v>1</v>
      </c>
      <c r="L1156" s="14" t="inlineStr">
        <is>
          <t>24 62 B</t>
        </is>
      </c>
      <c r="M1156" s="14" t="inlineStr">
        <is>
          <t>M TAPU TEVAI</t>
        </is>
      </c>
      <c r="N1156" s="14" t="inlineStr">
        <is>
          <t>Gérant</t>
        </is>
      </c>
      <c r="O1156" s="15" t="inlineStr">
        <is>
          <t>27953</t>
        </is>
      </c>
    </row>
    <row r="1157" ht="20" customHeight="1">
      <c r="A1157" s="16" t="inlineStr">
        <is>
          <t>PAEA-CCISM-1156</t>
        </is>
      </c>
      <c r="B1157" s="16" t="inlineStr">
        <is>
          <t>F62915</t>
        </is>
      </c>
      <c r="C1157" s="17" t="inlineStr">
        <is>
          <t>SANDRÉ BENJAMIN, DAVID</t>
        </is>
      </c>
      <c r="D1157" s="17" t="inlineStr">
        <is>
          <t>SERV ROOMA 98711 PAEA</t>
        </is>
      </c>
      <c r="E1157" s="17" t="inlineStr">
        <is>
          <t>Patenté (Personne Physique)</t>
        </is>
      </c>
      <c r="F1157" s="17" t="inlineStr">
        <is>
          <t>Patenté</t>
        </is>
      </c>
      <c r="G1157" s="16" t="inlineStr">
        <is>
          <t>7112B</t>
        </is>
      </c>
      <c r="H1157" s="16" t="inlineStr">
        <is>
          <t>S</t>
        </is>
      </c>
      <c r="I1157" s="17" t="inlineStr">
        <is>
          <t>Services</t>
        </is>
      </c>
      <c r="J1157" s="18" t="n">
        <v>0</v>
      </c>
      <c r="K1157" s="18" t="n">
        <v>1</v>
      </c>
      <c r="L1157" s="17" t="inlineStr">
        <is>
          <t>23 3223 A</t>
        </is>
      </c>
      <c r="M1157" s="17" t="inlineStr">
        <is>
          <t>M SANDRÉ BENJAMIN, DAVID</t>
        </is>
      </c>
      <c r="N1157" s="17" t="inlineStr">
        <is>
          <t>Chef d entreprise</t>
        </is>
      </c>
      <c r="O1157" s="18" t="inlineStr">
        <is>
          <t>27985</t>
        </is>
      </c>
    </row>
    <row r="1158" ht="20" customHeight="1">
      <c r="A1158" s="13" t="inlineStr">
        <is>
          <t>PAEA-CCISM-1157</t>
        </is>
      </c>
      <c r="B1158" s="13" t="inlineStr">
        <is>
          <t>748103</t>
        </is>
      </c>
      <c r="C1158" s="14" t="inlineStr">
        <is>
          <t>SANFORD MAUI PAUL</t>
        </is>
      </c>
      <c r="D1158" s="14" t="inlineStr">
        <is>
          <t>98711 PAEA</t>
        </is>
      </c>
      <c r="E1158" s="14" t="inlineStr">
        <is>
          <t>Patenté (Personne Physique)</t>
        </is>
      </c>
      <c r="F1158" s="14" t="inlineStr">
        <is>
          <t>Patenté</t>
        </is>
      </c>
      <c r="G1158" s="13" t="inlineStr">
        <is>
          <t>7022Z</t>
        </is>
      </c>
      <c r="H1158" s="13" t="inlineStr">
        <is>
          <t>S</t>
        </is>
      </c>
      <c r="I1158" s="14" t="inlineStr">
        <is>
          <t>Services</t>
        </is>
      </c>
      <c r="J1158" s="15" t="n">
        <v>0</v>
      </c>
      <c r="K1158" s="15" t="n">
        <v>1</v>
      </c>
      <c r="L1158" s="14" t="inlineStr">
        <is>
          <t>10 2039 A</t>
        </is>
      </c>
      <c r="M1158" s="14" t="inlineStr">
        <is>
          <t>M SANFORD MAUI PAUL</t>
        </is>
      </c>
      <c r="N1158" s="14" t="inlineStr">
        <is>
          <t>Chef d entreprise 27994 SERVICE</t>
        </is>
      </c>
      <c r="O1158" s="15" t="inlineStr"/>
    </row>
    <row r="1159" ht="20" customHeight="1">
      <c r="A1159" s="16" t="inlineStr">
        <is>
          <t>PAEA-CCISM-1158</t>
        </is>
      </c>
      <c r="B1159" s="16" t="inlineStr">
        <is>
          <t>F14171</t>
        </is>
      </c>
      <c r="C1159" s="17" t="inlineStr">
        <is>
          <t>SANTINI SANDRINE</t>
        </is>
      </c>
      <c r="D1159" s="17" t="inlineStr">
        <is>
          <t>APT 11 - RESIDENCE TEHANI QT LEHARTEL 98711 PAEA</t>
        </is>
      </c>
      <c r="E1159" s="17" t="inlineStr">
        <is>
          <t>Patenté (Personne Physique)</t>
        </is>
      </c>
      <c r="F1159" s="17" t="inlineStr">
        <is>
          <t>Patenté</t>
        </is>
      </c>
      <c r="G1159" s="16" t="inlineStr">
        <is>
          <t>9609Z</t>
        </is>
      </c>
      <c r="H1159" s="16" t="inlineStr">
        <is>
          <t>S</t>
        </is>
      </c>
      <c r="I1159" s="17" t="inlineStr">
        <is>
          <t>Services</t>
        </is>
      </c>
      <c r="J1159" s="18" t="n">
        <v>0</v>
      </c>
      <c r="K1159" s="18" t="n">
        <v>1</v>
      </c>
      <c r="L1159" s="17" t="inlineStr">
        <is>
          <t>23 47 A</t>
        </is>
      </c>
      <c r="M1159" s="17" t="inlineStr">
        <is>
          <t>Mme SANTINI SANDRINE</t>
        </is>
      </c>
      <c r="N1159" s="17" t="inlineStr">
        <is>
          <t>Chef d entreprise</t>
        </is>
      </c>
      <c r="O1159" s="18" t="inlineStr">
        <is>
          <t>28009</t>
        </is>
      </c>
    </row>
    <row r="1160" ht="20" customHeight="1">
      <c r="A1160" s="13" t="inlineStr">
        <is>
          <t>PAEA-CCISM-1159</t>
        </is>
      </c>
      <c r="B1160" s="13" t="inlineStr">
        <is>
          <t>182865</t>
        </is>
      </c>
      <c r="C1160" s="14" t="inlineStr">
        <is>
          <t>SARCIAUX ARIIRAU, LAIZA</t>
        </is>
      </c>
      <c r="D1160" s="14" t="inlineStr">
        <is>
          <t>QUARTIER SARCIAUX 98711 PAEA</t>
        </is>
      </c>
      <c r="E1160" s="14" t="inlineStr">
        <is>
          <t>Patenté (Personne Physique)</t>
        </is>
      </c>
      <c r="F1160" s="14" t="inlineStr">
        <is>
          <t>Patenté</t>
        </is>
      </c>
      <c r="G1160" s="13" t="inlineStr">
        <is>
          <t>5520Z</t>
        </is>
      </c>
      <c r="H1160" s="13" t="inlineStr">
        <is>
          <t>S</t>
        </is>
      </c>
      <c r="I1160" s="14" t="inlineStr">
        <is>
          <t>Services</t>
        </is>
      </c>
      <c r="J1160" s="15" t="n">
        <v>0</v>
      </c>
      <c r="K1160" s="15" t="n">
        <v>1</v>
      </c>
      <c r="L1160" s="14" t="inlineStr">
        <is>
          <t>23 1256 A</t>
        </is>
      </c>
      <c r="M1160" s="14" t="inlineStr">
        <is>
          <t>Mme SARCIAUX ARIIRAU, LAIZA</t>
        </is>
      </c>
      <c r="N1160" s="14" t="inlineStr">
        <is>
          <t>Chef d entreprise</t>
        </is>
      </c>
      <c r="O1160" s="15" t="inlineStr">
        <is>
          <t>28020</t>
        </is>
      </c>
    </row>
    <row r="1161" ht="20" customHeight="1">
      <c r="A1161" s="16" t="inlineStr">
        <is>
          <t>PAEA-CCISM-1160</t>
        </is>
      </c>
      <c r="B1161" s="16" t="inlineStr">
        <is>
          <t>B43203</t>
        </is>
      </c>
      <c r="C1161" s="17" t="inlineStr">
        <is>
          <t>SARL IRON GUARD</t>
        </is>
      </c>
      <c r="D1161" s="17" t="inlineStr">
        <is>
          <t>98711 PAEA</t>
        </is>
      </c>
      <c r="E1161" s="17" t="inlineStr">
        <is>
          <t>SARL</t>
        </is>
      </c>
      <c r="F1161" s="17" t="inlineStr">
        <is>
          <t>Société</t>
        </is>
      </c>
      <c r="G1161" s="16" t="inlineStr">
        <is>
          <t>8010Z</t>
        </is>
      </c>
      <c r="H1161" s="16" t="inlineStr">
        <is>
          <t>S</t>
        </is>
      </c>
      <c r="I1161" s="17" t="inlineStr">
        <is>
          <t>Services</t>
        </is>
      </c>
      <c r="J1161" s="18" t="n">
        <v>0</v>
      </c>
      <c r="K1161" s="18" t="n">
        <v>1</v>
      </c>
      <c r="L1161" s="17" t="inlineStr">
        <is>
          <t>15 76 B</t>
        </is>
      </c>
      <c r="M1161" s="17" t="inlineStr">
        <is>
          <t>M DARROUZES MOEHAU</t>
        </is>
      </c>
      <c r="N1161" s="17" t="inlineStr">
        <is>
          <t>Gérant</t>
        </is>
      </c>
      <c r="O1161" s="18" t="inlineStr">
        <is>
          <t>28053</t>
        </is>
      </c>
    </row>
    <row r="1162" ht="20" customHeight="1">
      <c r="A1162" s="13" t="inlineStr">
        <is>
          <t>PAEA-CCISM-1161</t>
        </is>
      </c>
      <c r="B1162" s="13" t="inlineStr">
        <is>
          <t>F46314</t>
        </is>
      </c>
      <c r="C1162" s="14" t="inlineStr">
        <is>
          <t>SARL PENSION TE MITI</t>
        </is>
      </c>
      <c r="D1162" s="14" t="inlineStr">
        <is>
          <t>N°19 LOTISSEMENT PAPEHUE VOIE 3 98711 PAEA</t>
        </is>
      </c>
      <c r="E1162" s="14" t="inlineStr">
        <is>
          <t>SARL</t>
        </is>
      </c>
      <c r="F1162" s="14" t="inlineStr">
        <is>
          <t>Société</t>
        </is>
      </c>
      <c r="G1162" s="13" t="inlineStr">
        <is>
          <t>5520Z</t>
        </is>
      </c>
      <c r="H1162" s="13" t="inlineStr">
        <is>
          <t>S</t>
        </is>
      </c>
      <c r="I1162" s="14" t="inlineStr">
        <is>
          <t>Services</t>
        </is>
      </c>
      <c r="J1162" s="15" t="n">
        <v>0</v>
      </c>
      <c r="K1162" s="15" t="n">
        <v>1</v>
      </c>
      <c r="L1162" s="14" t="inlineStr">
        <is>
          <t>23 235 B</t>
        </is>
      </c>
      <c r="M1162" s="14" t="inlineStr">
        <is>
          <t>M CELLA FREDERIC JEAN</t>
        </is>
      </c>
      <c r="N1162" s="14" t="inlineStr">
        <is>
          <t>Gérant</t>
        </is>
      </c>
      <c r="O1162" s="15" t="inlineStr">
        <is>
          <t>28077</t>
        </is>
      </c>
    </row>
    <row r="1163" ht="20" customHeight="1">
      <c r="A1163" s="16" t="inlineStr">
        <is>
          <t>PAEA-CCISM-1162</t>
        </is>
      </c>
      <c r="B1163" s="16" t="inlineStr">
        <is>
          <t>238527</t>
        </is>
      </c>
      <c r="C1163" s="17" t="inlineStr">
        <is>
          <t>SARTORE JEAN</t>
        </is>
      </c>
      <c r="D1163" s="17" t="inlineStr">
        <is>
          <t>PAEA PK 20.200 C/MONT - RÉSID.MAHANA N 98711 PAEA</t>
        </is>
      </c>
      <c r="E1163" s="17" t="inlineStr">
        <is>
          <t>Patenté (Personne Physique)</t>
        </is>
      </c>
      <c r="F1163" s="17" t="inlineStr">
        <is>
          <t>Patenté</t>
        </is>
      </c>
      <c r="G1163" s="16" t="inlineStr">
        <is>
          <t>7022Z</t>
        </is>
      </c>
      <c r="H1163" s="16" t="inlineStr">
        <is>
          <t>S</t>
        </is>
      </c>
      <c r="I1163" s="17" t="inlineStr">
        <is>
          <t>Services</t>
        </is>
      </c>
      <c r="J1163" s="18" t="n">
        <v>0</v>
      </c>
      <c r="K1163" s="18" t="n">
        <v>1</v>
      </c>
      <c r="L1163" s="17" t="inlineStr">
        <is>
          <t>12 140 A</t>
        </is>
      </c>
      <c r="M1163" s="17" t="inlineStr">
        <is>
          <t>M SARTORE JEAN-PAUL CHARLES</t>
        </is>
      </c>
      <c r="N1163" s="17" t="inlineStr">
        <is>
          <t>Chef d entreprise</t>
        </is>
      </c>
      <c r="O1163" s="18" t="inlineStr">
        <is>
          <t>28117</t>
        </is>
      </c>
    </row>
    <row r="1164" ht="20" customHeight="1">
      <c r="A1164" s="13" t="inlineStr">
        <is>
          <t>PAEA-CCISM-1163</t>
        </is>
      </c>
      <c r="B1164" s="13" t="inlineStr">
        <is>
          <t>F24543</t>
        </is>
      </c>
      <c r="C1164" s="14" t="inlineStr">
        <is>
          <t>SBRISSA - MARQUILLE NEE SBRISSA MARGAUX OLIVIA 98711 PAEA</t>
        </is>
      </c>
      <c r="D1164" s="14" t="inlineStr">
        <is>
          <t>98711 PAEA</t>
        </is>
      </c>
      <c r="E1164" s="14" t="inlineStr">
        <is>
          <t>Patenté (Personne Physique)</t>
        </is>
      </c>
      <c r="F1164" s="14" t="inlineStr">
        <is>
          <t>Patenté</t>
        </is>
      </c>
      <c r="G1164" s="13" t="inlineStr">
        <is>
          <t>9609Z</t>
        </is>
      </c>
      <c r="H1164" s="13" t="inlineStr">
        <is>
          <t>S</t>
        </is>
      </c>
      <c r="I1164" s="14" t="inlineStr">
        <is>
          <t>Services</t>
        </is>
      </c>
      <c r="J1164" s="15" t="n">
        <v>0</v>
      </c>
      <c r="K1164" s="15" t="n">
        <v>1</v>
      </c>
      <c r="L1164" s="14" t="inlineStr">
        <is>
          <t>23 794 A</t>
        </is>
      </c>
      <c r="M1164" s="14" t="inlineStr">
        <is>
          <t>Mme SBRISSA - MARQUILLE (Née SBRISSA) MARGAUX OLIVIA</t>
        </is>
      </c>
      <c r="N1164" s="14" t="inlineStr">
        <is>
          <t>Chef d entreprise</t>
        </is>
      </c>
      <c r="O1164" s="15" t="inlineStr">
        <is>
          <t>28150</t>
        </is>
      </c>
    </row>
    <row r="1165" ht="20" customHeight="1">
      <c r="A1165" s="16" t="inlineStr">
        <is>
          <t>PAEA-CCISM-1164</t>
        </is>
      </c>
      <c r="B1165" s="16" t="inlineStr">
        <is>
          <t>066076</t>
        </is>
      </c>
      <c r="C1165" s="17" t="inlineStr">
        <is>
          <t>SCHMOUKER JOSIANE MIRI</t>
        </is>
      </c>
      <c r="D1165" s="17" t="inlineStr">
        <is>
          <t>LOT BALDWIN/ LOT 26 98711 PAEA</t>
        </is>
      </c>
      <c r="E1165" s="17" t="inlineStr">
        <is>
          <t>Patenté (Personne Physique)</t>
        </is>
      </c>
      <c r="F1165" s="17" t="inlineStr">
        <is>
          <t>Patenté</t>
        </is>
      </c>
      <c r="G1165" s="16" t="inlineStr">
        <is>
          <t>9604Z</t>
        </is>
      </c>
      <c r="H1165" s="16" t="inlineStr">
        <is>
          <t>S</t>
        </is>
      </c>
      <c r="I1165" s="17" t="inlineStr">
        <is>
          <t>Services</t>
        </is>
      </c>
      <c r="J1165" s="18" t="n">
        <v>0</v>
      </c>
      <c r="K1165" s="18" t="n">
        <v>1</v>
      </c>
      <c r="L1165" s="17" t="inlineStr">
        <is>
          <t>23 114 A</t>
        </is>
      </c>
      <c r="M1165" s="17" t="inlineStr">
        <is>
          <t>Mme SCHMOUKER JOSIANE MIRI</t>
        </is>
      </c>
      <c r="N1165" s="17" t="inlineStr">
        <is>
          <t>Chef d entreprise</t>
        </is>
      </c>
      <c r="O1165" s="18" t="inlineStr">
        <is>
          <t>28182</t>
        </is>
      </c>
    </row>
    <row r="1166" ht="20" customHeight="1">
      <c r="A1166" s="13" t="inlineStr">
        <is>
          <t>PAEA-CCISM-1165</t>
        </is>
      </c>
      <c r="B1166" s="13" t="inlineStr">
        <is>
          <t>079640</t>
        </is>
      </c>
      <c r="C1166" s="14" t="inlineStr">
        <is>
          <t>SEIGEL JUANITO, MAXIMIN</t>
        </is>
      </c>
      <c r="D1166" s="14" t="inlineStr">
        <is>
          <t>98711 PAEA</t>
        </is>
      </c>
      <c r="E1166" s="14" t="inlineStr">
        <is>
          <t>Patenté (Personne Physique)</t>
        </is>
      </c>
      <c r="F1166" s="14" t="inlineStr">
        <is>
          <t>Patenté</t>
        </is>
      </c>
      <c r="G1166" s="13" t="inlineStr">
        <is>
          <t>7490A</t>
        </is>
      </c>
      <c r="H1166" s="13" t="inlineStr">
        <is>
          <t>S</t>
        </is>
      </c>
      <c r="I1166" s="14" t="inlineStr">
        <is>
          <t>Services</t>
        </is>
      </c>
      <c r="J1166" s="15" t="n">
        <v>0</v>
      </c>
      <c r="K1166" s="15" t="n">
        <v>1</v>
      </c>
      <c r="L1166" s="14" t="inlineStr">
        <is>
          <t>21 1490 A</t>
        </is>
      </c>
      <c r="M1166" s="14" t="inlineStr">
        <is>
          <t>M SEIGEL JUANITO, MAXIMIN</t>
        </is>
      </c>
      <c r="N1166" s="14" t="inlineStr">
        <is>
          <t>Chef d entreprise</t>
        </is>
      </c>
      <c r="O1166" s="15" t="inlineStr">
        <is>
          <t>28252</t>
        </is>
      </c>
    </row>
    <row r="1167" ht="20" customHeight="1">
      <c r="A1167" s="16" t="inlineStr">
        <is>
          <t>PAEA-CCISM-1166</t>
        </is>
      </c>
      <c r="B1167" s="16" t="inlineStr">
        <is>
          <t>E75604</t>
        </is>
      </c>
      <c r="C1167" s="17" t="inlineStr">
        <is>
          <t>SIAO JENNY HEINANUI KIYIN</t>
        </is>
      </c>
      <c r="D1167" s="17" t="inlineStr">
        <is>
          <t>RTE SERVITUDE IORSS 98711 PAEA</t>
        </is>
      </c>
      <c r="E1167" s="17" t="inlineStr">
        <is>
          <t>Patenté (Personne Physique)</t>
        </is>
      </c>
      <c r="F1167" s="17" t="inlineStr">
        <is>
          <t>Patenté</t>
        </is>
      </c>
      <c r="G1167" s="16" t="inlineStr">
        <is>
          <t>9609Z</t>
        </is>
      </c>
      <c r="H1167" s="16" t="inlineStr">
        <is>
          <t>S</t>
        </is>
      </c>
      <c r="I1167" s="17" t="inlineStr">
        <is>
          <t>Services</t>
        </is>
      </c>
      <c r="J1167" s="18" t="n">
        <v>0</v>
      </c>
      <c r="K1167" s="18" t="n">
        <v>1</v>
      </c>
      <c r="L1167" s="17" t="inlineStr">
        <is>
          <t>22 1128 A</t>
        </is>
      </c>
      <c r="M1167" s="17" t="inlineStr">
        <is>
          <t>Mme SIAO JENNY HEINANUI KIYIN</t>
        </is>
      </c>
      <c r="N1167" s="17" t="inlineStr">
        <is>
          <t>Chef d entreprise</t>
        </is>
      </c>
      <c r="O1167" s="18" t="inlineStr">
        <is>
          <t>28331</t>
        </is>
      </c>
    </row>
    <row r="1168" ht="20" customHeight="1">
      <c r="A1168" s="13" t="inlineStr">
        <is>
          <t>PAEA-CCISM-1167</t>
        </is>
      </c>
      <c r="B1168" s="13" t="inlineStr">
        <is>
          <t>F65512</t>
        </is>
      </c>
      <c r="C1168" s="14" t="inlineStr">
        <is>
          <t>SIMON BERTILLE</t>
        </is>
      </c>
      <c r="D1168" s="14" t="inlineStr">
        <is>
          <t>AOUA 98711 PAEA</t>
        </is>
      </c>
      <c r="E1168" s="14" t="inlineStr">
        <is>
          <t>Patenté (Personne Physique)</t>
        </is>
      </c>
      <c r="F1168" s="14" t="inlineStr">
        <is>
          <t>Patenté</t>
        </is>
      </c>
      <c r="G1168" s="13" t="inlineStr">
        <is>
          <t>7021Z</t>
        </is>
      </c>
      <c r="H1168" s="13" t="inlineStr">
        <is>
          <t>S</t>
        </is>
      </c>
      <c r="I1168" s="14" t="inlineStr">
        <is>
          <t>Services</t>
        </is>
      </c>
      <c r="J1168" s="15" t="n">
        <v>0</v>
      </c>
      <c r="K1168" s="15" t="n">
        <v>1</v>
      </c>
      <c r="L1168" s="14" t="inlineStr">
        <is>
          <t>24 4 A</t>
        </is>
      </c>
      <c r="M1168" s="14" t="inlineStr">
        <is>
          <t>Mme SIMON BERTILLE</t>
        </is>
      </c>
      <c r="N1168" s="14" t="inlineStr">
        <is>
          <t>Chef d entreprise</t>
        </is>
      </c>
      <c r="O1168" s="15" t="inlineStr">
        <is>
          <t>28355</t>
        </is>
      </c>
    </row>
    <row r="1169" ht="20" customHeight="1">
      <c r="A1169" s="16" t="inlineStr">
        <is>
          <t>PAEA-CCISM-1168</t>
        </is>
      </c>
      <c r="B1169" s="16" t="inlineStr">
        <is>
          <t>C79668</t>
        </is>
      </c>
      <c r="C1169" s="17" t="inlineStr">
        <is>
          <t>SMITH ARNAUD RUSSEL</t>
        </is>
      </c>
      <c r="D1169" s="17" t="inlineStr">
        <is>
          <t>RTE DE LA VALLEE OROFERO 98711 PAEA</t>
        </is>
      </c>
      <c r="E1169" s="17" t="inlineStr">
        <is>
          <t>Patenté (Personne Physique)</t>
        </is>
      </c>
      <c r="F1169" s="17" t="inlineStr">
        <is>
          <t>Patenté</t>
        </is>
      </c>
      <c r="G1169" s="16" t="inlineStr">
        <is>
          <t>9609Z</t>
        </is>
      </c>
      <c r="H1169" s="16" t="inlineStr">
        <is>
          <t>S</t>
        </is>
      </c>
      <c r="I1169" s="17" t="inlineStr">
        <is>
          <t>Services</t>
        </is>
      </c>
      <c r="J1169" s="18" t="n">
        <v>0</v>
      </c>
      <c r="K1169" s="18" t="n">
        <v>1</v>
      </c>
      <c r="L1169" s="17" t="inlineStr">
        <is>
          <t>18 1061 A</t>
        </is>
      </c>
      <c r="M1169" s="17" t="inlineStr">
        <is>
          <t>M SMITH ARNAUD RUSSEL</t>
        </is>
      </c>
      <c r="N1169" s="17" t="inlineStr">
        <is>
          <t>Chef d entreprise</t>
        </is>
      </c>
      <c r="O1169" s="18" t="inlineStr">
        <is>
          <t>28402</t>
        </is>
      </c>
    </row>
    <row r="1170" ht="20" customHeight="1">
      <c r="A1170" s="13" t="inlineStr">
        <is>
          <t>PAEA-CCISM-1169</t>
        </is>
      </c>
      <c r="B1170" s="13" t="inlineStr">
        <is>
          <t>951707</t>
        </is>
      </c>
      <c r="C1170" s="14" t="inlineStr">
        <is>
          <t>SOLUTIONS SECURITE INCENDIE</t>
        </is>
      </c>
      <c r="D1170" s="14" t="inlineStr">
        <is>
          <t>APRES FARE AMUIRAA PROTESTANT 98711 PAEA</t>
        </is>
      </c>
      <c r="E1170" s="14" t="inlineStr">
        <is>
          <t>SARL</t>
        </is>
      </c>
      <c r="F1170" s="14" t="inlineStr">
        <is>
          <t>Société</t>
        </is>
      </c>
      <c r="G1170" s="13" t="inlineStr">
        <is>
          <t>7112B</t>
        </is>
      </c>
      <c r="H1170" s="13" t="inlineStr">
        <is>
          <t>S</t>
        </is>
      </c>
      <c r="I1170" s="14" t="inlineStr">
        <is>
          <t>Services</t>
        </is>
      </c>
      <c r="J1170" s="15" t="n">
        <v>4</v>
      </c>
      <c r="K1170" s="15" t="n">
        <v>1</v>
      </c>
      <c r="L1170" s="14" t="inlineStr">
        <is>
          <t>10 186 B</t>
        </is>
      </c>
      <c r="M1170" s="14" t="inlineStr">
        <is>
          <t>M MONCOMBLE ERIC DANIEL PIERRE</t>
        </is>
      </c>
      <c r="N1170" s="14" t="inlineStr">
        <is>
          <t>Gérant</t>
        </is>
      </c>
      <c r="O1170" s="15" t="inlineStr">
        <is>
          <t>28483</t>
        </is>
      </c>
    </row>
    <row r="1171" ht="20" customHeight="1">
      <c r="A1171" s="16" t="inlineStr">
        <is>
          <t>PAEA-CCISM-1170</t>
        </is>
      </c>
      <c r="B1171" s="16" t="inlineStr">
        <is>
          <t>B01516</t>
        </is>
      </c>
      <c r="C1171" s="17" t="inlineStr">
        <is>
          <t>SOUZA DE OLIVEIRA ELISANGELA</t>
        </is>
      </c>
      <c r="D1171" s="17" t="inlineStr">
        <is>
          <t>98711 PAEA</t>
        </is>
      </c>
      <c r="E1171" s="17" t="inlineStr">
        <is>
          <t>Patenté (Personne Physique)</t>
        </is>
      </c>
      <c r="F1171" s="17" t="inlineStr">
        <is>
          <t>Patenté</t>
        </is>
      </c>
      <c r="G1171" s="16" t="inlineStr">
        <is>
          <t>4939B</t>
        </is>
      </c>
      <c r="H1171" s="16" t="inlineStr">
        <is>
          <t>S</t>
        </is>
      </c>
      <c r="I1171" s="17" t="inlineStr">
        <is>
          <t>Services</t>
        </is>
      </c>
      <c r="J1171" s="18" t="n">
        <v>0</v>
      </c>
      <c r="K1171" s="18" t="n">
        <v>1</v>
      </c>
      <c r="L1171" s="17" t="inlineStr">
        <is>
          <t>17 2532 A</t>
        </is>
      </c>
      <c r="M1171" s="17" t="inlineStr">
        <is>
          <t>Mme SOUZA DE OLIVEIRA ELISANGELA</t>
        </is>
      </c>
      <c r="N1171" s="17" t="inlineStr">
        <is>
          <t>Chef d entreprise</t>
        </is>
      </c>
      <c r="O1171" s="18" t="inlineStr">
        <is>
          <t>28535</t>
        </is>
      </c>
    </row>
    <row r="1172" ht="20" customHeight="1">
      <c r="A1172" s="13" t="inlineStr">
        <is>
          <t>PAEA-CCISM-1171</t>
        </is>
      </c>
      <c r="B1172" s="13" t="inlineStr">
        <is>
          <t>F41653</t>
        </is>
      </c>
      <c r="C1172" s="14" t="inlineStr">
        <is>
          <t>STORIES&amp;CO PRODUCTIONS</t>
        </is>
      </c>
      <c r="D1172" s="14" t="inlineStr">
        <is>
          <t>SERVITUDE VAIERI 98711 PAEA</t>
        </is>
      </c>
      <c r="E1172" s="14" t="inlineStr">
        <is>
          <t>SARL</t>
        </is>
      </c>
      <c r="F1172" s="14" t="inlineStr">
        <is>
          <t>Société</t>
        </is>
      </c>
      <c r="G1172" s="13" t="inlineStr">
        <is>
          <t>5911A</t>
        </is>
      </c>
      <c r="H1172" s="13" t="inlineStr">
        <is>
          <t>S</t>
        </is>
      </c>
      <c r="I1172" s="14" t="inlineStr">
        <is>
          <t>Services</t>
        </is>
      </c>
      <c r="J1172" s="15" t="n">
        <v>1</v>
      </c>
      <c r="K1172" s="15" t="n">
        <v>1</v>
      </c>
      <c r="L1172" s="14" t="inlineStr">
        <is>
          <t>23 203 B</t>
        </is>
      </c>
      <c r="M1172" s="14" t="inlineStr">
        <is>
          <t>Mme POUPLARD CORINNE</t>
        </is>
      </c>
      <c r="N1172" s="14" t="inlineStr">
        <is>
          <t>Gérant</t>
        </is>
      </c>
      <c r="O1172" s="15" t="inlineStr">
        <is>
          <t>28646</t>
        </is>
      </c>
    </row>
    <row r="1173" ht="20" customHeight="1">
      <c r="A1173" s="16" t="inlineStr">
        <is>
          <t>PAEA-CCISM-1172</t>
        </is>
      </c>
      <c r="B1173" s="16" t="inlineStr">
        <is>
          <t>975201</t>
        </is>
      </c>
      <c r="C1173" s="17" t="inlineStr">
        <is>
          <t>SUGI</t>
        </is>
      </c>
      <c r="D1173" s="17" t="inlineStr">
        <is>
          <t>98711 PAEA</t>
        </is>
      </c>
      <c r="E1173" s="17" t="inlineStr">
        <is>
          <t>SARL</t>
        </is>
      </c>
      <c r="F1173" s="17" t="inlineStr">
        <is>
          <t>Société</t>
        </is>
      </c>
      <c r="G1173" s="16" t="inlineStr">
        <is>
          <t>5010Z</t>
        </is>
      </c>
      <c r="H1173" s="16" t="inlineStr">
        <is>
          <t>S</t>
        </is>
      </c>
      <c r="I1173" s="17" t="inlineStr">
        <is>
          <t>Services</t>
        </is>
      </c>
      <c r="J1173" s="18" t="n">
        <v>0</v>
      </c>
      <c r="K1173" s="18" t="n">
        <v>1</v>
      </c>
      <c r="L1173" s="17" t="inlineStr">
        <is>
          <t>11 41 B</t>
        </is>
      </c>
      <c r="M1173" s="17" t="inlineStr">
        <is>
          <t>Mme STEINDLING SUSANNA</t>
        </is>
      </c>
      <c r="N1173" s="17" t="inlineStr">
        <is>
          <t>Gérant</t>
        </is>
      </c>
      <c r="O1173" s="18" t="inlineStr">
        <is>
          <t>28668</t>
        </is>
      </c>
    </row>
    <row r="1174" ht="20" customHeight="1">
      <c r="A1174" s="13" t="inlineStr">
        <is>
          <t>PAEA-CCISM-1173</t>
        </is>
      </c>
      <c r="B1174" s="13" t="inlineStr">
        <is>
          <t>F84893</t>
        </is>
      </c>
      <c r="C1174" s="14" t="inlineStr">
        <is>
          <t>SUHAS MANUTEA</t>
        </is>
      </c>
      <c r="D1174" s="14" t="inlineStr">
        <is>
          <t>SERV FROGIER QTR PAPEHUE 98711 PAEA</t>
        </is>
      </c>
      <c r="E1174" s="14" t="inlineStr">
        <is>
          <t>Patenté (Personne Physique)</t>
        </is>
      </c>
      <c r="F1174" s="14" t="inlineStr">
        <is>
          <t>Patenté</t>
        </is>
      </c>
      <c r="G1174" s="13" t="inlineStr">
        <is>
          <t>9321Z</t>
        </is>
      </c>
      <c r="H1174" s="13" t="inlineStr">
        <is>
          <t>S</t>
        </is>
      </c>
      <c r="I1174" s="14" t="inlineStr">
        <is>
          <t>Services</t>
        </is>
      </c>
      <c r="J1174" s="15" t="n">
        <v>0</v>
      </c>
      <c r="K1174" s="15" t="n">
        <v>1</v>
      </c>
      <c r="L1174" s="14" t="inlineStr">
        <is>
          <t>24 1321 A</t>
        </is>
      </c>
      <c r="M1174" s="14" t="inlineStr">
        <is>
          <t>M SUHAS MANUTEA</t>
        </is>
      </c>
      <c r="N1174" s="14" t="inlineStr">
        <is>
          <t>Chef d entreprise</t>
        </is>
      </c>
      <c r="O1174" s="15" t="inlineStr">
        <is>
          <t>28670</t>
        </is>
      </c>
    </row>
    <row r="1175" ht="20" customHeight="1">
      <c r="A1175" s="16" t="inlineStr">
        <is>
          <t>PAEA-CCISM-1174</t>
        </is>
      </c>
      <c r="B1175" s="16" t="inlineStr">
        <is>
          <t>F05344</t>
        </is>
      </c>
      <c r="C1175" s="17" t="inlineStr">
        <is>
          <t>TAATA NEE TAPUTUARAI TERAITEGAHE</t>
        </is>
      </c>
      <c r="D1175" s="17" t="inlineStr">
        <is>
          <t>SERVITUDE TEURUA 98711 PAEA</t>
        </is>
      </c>
      <c r="E1175" s="17" t="inlineStr">
        <is>
          <t>Patenté (Personne Physique)</t>
        </is>
      </c>
      <c r="F1175" s="17" t="inlineStr">
        <is>
          <t>Patenté</t>
        </is>
      </c>
      <c r="G1175" s="16" t="inlineStr">
        <is>
          <t>7739Z</t>
        </is>
      </c>
      <c r="H1175" s="16" t="inlineStr">
        <is>
          <t>S</t>
        </is>
      </c>
      <c r="I1175" s="17" t="inlineStr">
        <is>
          <t>Services</t>
        </is>
      </c>
      <c r="J1175" s="18" t="n">
        <v>0</v>
      </c>
      <c r="K1175" s="18" t="n">
        <v>1</v>
      </c>
      <c r="L1175" s="17" t="inlineStr">
        <is>
          <t>22 3200 A</t>
        </is>
      </c>
      <c r="M1175" s="17" t="inlineStr">
        <is>
          <t>Mme TAATA (Née TAPUTUARAI) TERAITEGAHE</t>
        </is>
      </c>
      <c r="N1175" s="17" t="inlineStr">
        <is>
          <t>Chef d entreprise</t>
        </is>
      </c>
      <c r="O1175" s="18" t="inlineStr">
        <is>
          <t>28730</t>
        </is>
      </c>
    </row>
    <row r="1176" ht="20" customHeight="1">
      <c r="A1176" s="13" t="inlineStr">
        <is>
          <t>PAEA-CCISM-1175</t>
        </is>
      </c>
      <c r="B1176" s="13" t="inlineStr">
        <is>
          <t>C67242</t>
        </is>
      </c>
      <c r="C1176" s="14" t="inlineStr">
        <is>
          <t>TAHIMANARII NEE MAITI CATHERINE RAINA</t>
        </is>
      </c>
      <c r="D1176" s="14" t="inlineStr">
        <is>
          <t>13 RTE DU LOTISSEMENT VAITERUPE 98711 PAEA</t>
        </is>
      </c>
      <c r="E1176" s="14" t="inlineStr">
        <is>
          <t>Patenté (Personne Physique)</t>
        </is>
      </c>
      <c r="F1176" s="14" t="inlineStr">
        <is>
          <t>Patenté</t>
        </is>
      </c>
      <c r="G1176" s="13" t="inlineStr">
        <is>
          <t>8219Z</t>
        </is>
      </c>
      <c r="H1176" s="13" t="inlineStr">
        <is>
          <t>S</t>
        </is>
      </c>
      <c r="I1176" s="14" t="inlineStr">
        <is>
          <t>Services</t>
        </is>
      </c>
      <c r="J1176" s="15" t="n">
        <v>0</v>
      </c>
      <c r="K1176" s="15" t="n">
        <v>1</v>
      </c>
      <c r="L1176" s="14" t="inlineStr">
        <is>
          <t>18 259 A</t>
        </is>
      </c>
      <c r="M1176" s="14" t="inlineStr">
        <is>
          <t>Mme TAHIMANARII (Née MAITI) CATHERINE RAINA</t>
        </is>
      </c>
      <c r="N1176" s="14" t="inlineStr">
        <is>
          <t>Chef d entreprise</t>
        </is>
      </c>
      <c r="O1176" s="15" t="inlineStr">
        <is>
          <t>28812</t>
        </is>
      </c>
    </row>
    <row r="1177" ht="20" customHeight="1">
      <c r="A1177" s="16" t="inlineStr">
        <is>
          <t>PAEA-CCISM-1176</t>
        </is>
      </c>
      <c r="B1177" s="16" t="inlineStr">
        <is>
          <t>280701</t>
        </is>
      </c>
      <c r="C1177" s="17" t="inlineStr">
        <is>
          <t>TAHITI AUTO CENTER</t>
        </is>
      </c>
      <c r="D1177" s="17" t="inlineStr">
        <is>
          <t>PAEA PK 20.200 C/MONT 98711 PAEA</t>
        </is>
      </c>
      <c r="E1177" s="17" t="inlineStr">
        <is>
          <t>SARL</t>
        </is>
      </c>
      <c r="F1177" s="17" t="inlineStr">
        <is>
          <t>Société</t>
        </is>
      </c>
      <c r="G1177" s="16" t="inlineStr">
        <is>
          <t>7711A</t>
        </is>
      </c>
      <c r="H1177" s="16" t="inlineStr">
        <is>
          <t>S</t>
        </is>
      </c>
      <c r="I1177" s="17" t="inlineStr">
        <is>
          <t>Services</t>
        </is>
      </c>
      <c r="J1177" s="18" t="n">
        <v>3</v>
      </c>
      <c r="K1177" s="18" t="n">
        <v>1</v>
      </c>
      <c r="L1177" s="17" t="inlineStr">
        <is>
          <t>4918 B</t>
        </is>
      </c>
      <c r="M1177" s="17" t="inlineStr">
        <is>
          <t>M MARCHAL KILLIAN</t>
        </is>
      </c>
      <c r="N1177" s="17" t="inlineStr">
        <is>
          <t>Gérant 28824 SERVICE</t>
        </is>
      </c>
      <c r="O1177" s="18" t="inlineStr"/>
    </row>
    <row r="1178" ht="20" customHeight="1">
      <c r="A1178" s="13" t="inlineStr">
        <is>
          <t>PAEA-CCISM-1177</t>
        </is>
      </c>
      <c r="B1178" s="13" t="inlineStr">
        <is>
          <t>D53810</t>
        </is>
      </c>
      <c r="C1178" s="14" t="inlineStr">
        <is>
          <t>TAHITI COV CUSTOM</t>
        </is>
      </c>
      <c r="D1178" s="14" t="inlineStr">
        <is>
          <t>RTE SERVITUDE BADOT LOT N°8 98711 PAEA</t>
        </is>
      </c>
      <c r="E1178" s="14" t="inlineStr">
        <is>
          <t>SARL</t>
        </is>
      </c>
      <c r="F1178" s="14" t="inlineStr">
        <is>
          <t>Société</t>
        </is>
      </c>
      <c r="G1178" s="13" t="inlineStr">
        <is>
          <t>7410Z</t>
        </is>
      </c>
      <c r="H1178" s="13" t="inlineStr">
        <is>
          <t>S</t>
        </is>
      </c>
      <c r="I1178" s="14" t="inlineStr">
        <is>
          <t>Services</t>
        </is>
      </c>
      <c r="J1178" s="15" t="n">
        <v>0</v>
      </c>
      <c r="K1178" s="15" t="n">
        <v>1</v>
      </c>
      <c r="L1178" s="14" t="inlineStr">
        <is>
          <t>19 388 B</t>
        </is>
      </c>
      <c r="M1178" s="14" t="inlineStr">
        <is>
          <t>M CHIN REYNOLDS</t>
        </is>
      </c>
      <c r="N1178" s="14" t="inlineStr">
        <is>
          <t>Autre</t>
        </is>
      </c>
      <c r="O1178" s="15" t="inlineStr">
        <is>
          <t>28842</t>
        </is>
      </c>
    </row>
    <row r="1179" ht="20" customHeight="1">
      <c r="A1179" s="16" t="inlineStr">
        <is>
          <t>PAEA-CCISM-1178</t>
        </is>
      </c>
      <c r="B1179" s="16" t="inlineStr">
        <is>
          <t>D11347</t>
        </is>
      </c>
      <c r="C1179" s="17" t="inlineStr">
        <is>
          <t>TAHITIAN SPIRIT</t>
        </is>
      </c>
      <c r="D1179" s="17" t="inlineStr">
        <is>
          <t>FARE N° 14 98711 PAEA</t>
        </is>
      </c>
      <c r="E1179" s="17" t="inlineStr">
        <is>
          <t>SARL</t>
        </is>
      </c>
      <c r="F1179" s="17" t="inlineStr">
        <is>
          <t>Société</t>
        </is>
      </c>
      <c r="G1179" s="16" t="inlineStr">
        <is>
          <t>8559A</t>
        </is>
      </c>
      <c r="H1179" s="16" t="inlineStr">
        <is>
          <t>S</t>
        </is>
      </c>
      <c r="I1179" s="17" t="inlineStr">
        <is>
          <t>Services</t>
        </is>
      </c>
      <c r="J1179" s="18" t="n">
        <v>0</v>
      </c>
      <c r="K1179" s="18" t="n">
        <v>1</v>
      </c>
      <c r="L1179" s="17" t="inlineStr">
        <is>
          <t>19 27 B</t>
        </is>
      </c>
      <c r="M1179" s="17" t="inlineStr">
        <is>
          <t>M BOUSSEREAU NICOLAS</t>
        </is>
      </c>
      <c r="N1179" s="17" t="inlineStr">
        <is>
          <t>Gérant</t>
        </is>
      </c>
      <c r="O1179" s="18" t="inlineStr">
        <is>
          <t>28975</t>
        </is>
      </c>
    </row>
    <row r="1180" ht="20" customHeight="1">
      <c r="A1180" s="13" t="inlineStr">
        <is>
          <t>PAEA-CCISM-1179</t>
        </is>
      </c>
      <c r="B1180" s="13" t="inlineStr">
        <is>
          <t>F04172</t>
        </is>
      </c>
      <c r="C1180" s="14" t="inlineStr">
        <is>
          <t>TAHITO RAHEI</t>
        </is>
      </c>
      <c r="D1180" s="14" t="inlineStr">
        <is>
          <t>98711 PAEA</t>
        </is>
      </c>
      <c r="E1180" s="14" t="inlineStr">
        <is>
          <t>Patenté (Personne Physique)</t>
        </is>
      </c>
      <c r="F1180" s="14" t="inlineStr">
        <is>
          <t>Patenté</t>
        </is>
      </c>
      <c r="G1180" s="13" t="inlineStr">
        <is>
          <t>8810A</t>
        </is>
      </c>
      <c r="H1180" s="13" t="inlineStr">
        <is>
          <t>S</t>
        </is>
      </c>
      <c r="I1180" s="14" t="inlineStr">
        <is>
          <t>Services</t>
        </is>
      </c>
      <c r="J1180" s="15" t="n">
        <v>0</v>
      </c>
      <c r="K1180" s="15" t="n">
        <v>1</v>
      </c>
      <c r="L1180" s="14" t="inlineStr">
        <is>
          <t>22 3008 A</t>
        </is>
      </c>
      <c r="M1180" s="14" t="inlineStr">
        <is>
          <t>Mme TAHITO RAHEI</t>
        </is>
      </c>
      <c r="N1180" s="14" t="inlineStr">
        <is>
          <t>Chef d entreprise</t>
        </is>
      </c>
      <c r="O1180" s="15" t="inlineStr">
        <is>
          <t>28979</t>
        </is>
      </c>
    </row>
    <row r="1181" ht="20" customHeight="1">
      <c r="A1181" s="16" t="inlineStr">
        <is>
          <t>PAEA-CCISM-1180</t>
        </is>
      </c>
      <c r="B1181" s="16" t="inlineStr">
        <is>
          <t>E57586</t>
        </is>
      </c>
      <c r="C1181" s="17" t="inlineStr">
        <is>
          <t>TAKI AUGUSTIN</t>
        </is>
      </c>
      <c r="D1181" s="17" t="inlineStr">
        <is>
          <t>N°18 RTE DU LOTISSEMENT CPS 98711 PAEA</t>
        </is>
      </c>
      <c r="E1181" s="17" t="inlineStr">
        <is>
          <t>Patenté (Personne Physique)</t>
        </is>
      </c>
      <c r="F1181" s="17" t="inlineStr">
        <is>
          <t>Patenté</t>
        </is>
      </c>
      <c r="G1181" s="16" t="inlineStr">
        <is>
          <t>7022Z</t>
        </is>
      </c>
      <c r="H1181" s="16" t="inlineStr">
        <is>
          <t>S</t>
        </is>
      </c>
      <c r="I1181" s="17" t="inlineStr">
        <is>
          <t>Services</t>
        </is>
      </c>
      <c r="J1181" s="18" t="n">
        <v>0</v>
      </c>
      <c r="K1181" s="18" t="n">
        <v>1</v>
      </c>
      <c r="L1181" s="17" t="inlineStr">
        <is>
          <t>21 3430 A</t>
        </is>
      </c>
      <c r="M1181" s="17" t="inlineStr">
        <is>
          <t>M TAKI AUGUSTIN</t>
        </is>
      </c>
      <c r="N1181" s="17" t="inlineStr">
        <is>
          <t>Chef d entreprise</t>
        </is>
      </c>
      <c r="O1181" s="18" t="inlineStr">
        <is>
          <t>29060</t>
        </is>
      </c>
    </row>
    <row r="1182" ht="20" customHeight="1">
      <c r="A1182" s="13" t="inlineStr">
        <is>
          <t>PAEA-CCISM-1181</t>
        </is>
      </c>
      <c r="B1182" s="13" t="inlineStr">
        <is>
          <t>A70448</t>
        </is>
      </c>
      <c r="C1182" s="14" t="inlineStr">
        <is>
          <t>TAKI CYRIL TUANUA</t>
        </is>
      </c>
      <c r="D1182" s="14" t="inlineStr">
        <is>
          <t>98711 PAEA</t>
        </is>
      </c>
      <c r="E1182" s="14" t="inlineStr">
        <is>
          <t>Patenté (Personne Physique)</t>
        </is>
      </c>
      <c r="F1182" s="14" t="inlineStr">
        <is>
          <t>Patenté</t>
        </is>
      </c>
      <c r="G1182" s="13" t="inlineStr">
        <is>
          <t>9609Z</t>
        </is>
      </c>
      <c r="H1182" s="13" t="inlineStr">
        <is>
          <t>S</t>
        </is>
      </c>
      <c r="I1182" s="14" t="inlineStr">
        <is>
          <t>Services</t>
        </is>
      </c>
      <c r="J1182" s="15" t="n">
        <v>0</v>
      </c>
      <c r="K1182" s="15" t="n">
        <v>1</v>
      </c>
      <c r="L1182" s="14" t="inlineStr">
        <is>
          <t>13 1062 A</t>
        </is>
      </c>
      <c r="M1182" s="14" t="inlineStr">
        <is>
          <t>M TAKI CYRIL TUANUA</t>
        </is>
      </c>
      <c r="N1182" s="14" t="inlineStr">
        <is>
          <t>Chef d entreprise</t>
        </is>
      </c>
      <c r="O1182" s="15" t="inlineStr">
        <is>
          <t>29061</t>
        </is>
      </c>
    </row>
    <row r="1183" ht="20" customHeight="1">
      <c r="A1183" s="16" t="inlineStr">
        <is>
          <t>PAEA-CCISM-1182</t>
        </is>
      </c>
      <c r="B1183" s="16" t="inlineStr">
        <is>
          <t>493981</t>
        </is>
      </c>
      <c r="C1183" s="17" t="inlineStr">
        <is>
          <t>TAKTIK.NET</t>
        </is>
      </c>
      <c r="D1183" s="17" t="inlineStr">
        <is>
          <t>98711 PAEA</t>
        </is>
      </c>
      <c r="E1183" s="17" t="inlineStr">
        <is>
          <t>SARL</t>
        </is>
      </c>
      <c r="F1183" s="17" t="inlineStr">
        <is>
          <t>Société</t>
        </is>
      </c>
      <c r="G1183" s="16" t="inlineStr">
        <is>
          <t>7311Z</t>
        </is>
      </c>
      <c r="H1183" s="16" t="inlineStr">
        <is>
          <t>S</t>
        </is>
      </c>
      <c r="I1183" s="17" t="inlineStr">
        <is>
          <t>Services</t>
        </is>
      </c>
      <c r="J1183" s="18" t="n">
        <v>0</v>
      </c>
      <c r="K1183" s="18" t="n">
        <v>1</v>
      </c>
      <c r="L1183" s="17" t="inlineStr">
        <is>
          <t>6975 B</t>
        </is>
      </c>
      <c r="M1183" s="17" t="inlineStr">
        <is>
          <t>M CAO MINH</t>
        </is>
      </c>
      <c r="N1183" s="17" t="inlineStr">
        <is>
          <t>Gérant</t>
        </is>
      </c>
      <c r="O1183" s="18" t="inlineStr">
        <is>
          <t>29065</t>
        </is>
      </c>
    </row>
    <row r="1184" ht="20" customHeight="1">
      <c r="A1184" s="13" t="inlineStr">
        <is>
          <t>PAEA-CCISM-1183</t>
        </is>
      </c>
      <c r="B1184" s="13" t="inlineStr">
        <is>
          <t>E81297</t>
        </is>
      </c>
      <c r="C1184" s="14" t="inlineStr">
        <is>
          <t>TALARIS COURSIER</t>
        </is>
      </c>
      <c r="D1184" s="14" t="inlineStr">
        <is>
          <t>LOT 308 RESIDENCE LES JARDINS DE PAEA 98711 PAEA</t>
        </is>
      </c>
      <c r="E1184" s="14" t="inlineStr">
        <is>
          <t>SARL</t>
        </is>
      </c>
      <c r="F1184" s="14" t="inlineStr">
        <is>
          <t>Société</t>
        </is>
      </c>
      <c r="G1184" s="13" t="inlineStr">
        <is>
          <t>4941B</t>
        </is>
      </c>
      <c r="H1184" s="13" t="inlineStr">
        <is>
          <t>S</t>
        </is>
      </c>
      <c r="I1184" s="14" t="inlineStr">
        <is>
          <t>Services</t>
        </is>
      </c>
      <c r="J1184" s="15" t="n">
        <v>0</v>
      </c>
      <c r="K1184" s="15" t="n">
        <v>1</v>
      </c>
      <c r="L1184" s="14" t="inlineStr">
        <is>
          <t>22 184 B</t>
        </is>
      </c>
      <c r="M1184" s="14" t="inlineStr">
        <is>
          <t>M JACQUES DAVID DOMINIQUE</t>
        </is>
      </c>
      <c r="N1184" s="14" t="inlineStr">
        <is>
          <t>Autre</t>
        </is>
      </c>
      <c r="O1184" s="15" t="inlineStr">
        <is>
          <t>29067</t>
        </is>
      </c>
    </row>
    <row r="1185" ht="20" customHeight="1">
      <c r="A1185" s="16" t="inlineStr">
        <is>
          <t>PAEA-CCISM-1184</t>
        </is>
      </c>
      <c r="B1185" s="16" t="inlineStr">
        <is>
          <t>B69927</t>
        </is>
      </c>
      <c r="C1185" s="17" t="inlineStr">
        <is>
          <t>TAMA VERONIQUE</t>
        </is>
      </c>
      <c r="D1185" s="17" t="inlineStr">
        <is>
          <t>98711 PAEA</t>
        </is>
      </c>
      <c r="E1185" s="17" t="inlineStr">
        <is>
          <t>Patenté (Personne Physique)</t>
        </is>
      </c>
      <c r="F1185" s="17" t="inlineStr">
        <is>
          <t>Patenté</t>
        </is>
      </c>
      <c r="G1185" s="16" t="inlineStr">
        <is>
          <t>4619B</t>
        </is>
      </c>
      <c r="H1185" s="16" t="inlineStr">
        <is>
          <t>S</t>
        </is>
      </c>
      <c r="I1185" s="17" t="inlineStr">
        <is>
          <t>Services</t>
        </is>
      </c>
      <c r="J1185" s="18" t="n">
        <v>0</v>
      </c>
      <c r="K1185" s="18" t="n">
        <v>1</v>
      </c>
      <c r="L1185" s="17" t="inlineStr">
        <is>
          <t>15 2468 A</t>
        </is>
      </c>
      <c r="M1185" s="17" t="inlineStr">
        <is>
          <t>Mme TAMA VERONIQUE</t>
        </is>
      </c>
      <c r="N1185" s="17" t="inlineStr">
        <is>
          <t>Chef d entreprise</t>
        </is>
      </c>
      <c r="O1185" s="18" t="inlineStr">
        <is>
          <t>29085</t>
        </is>
      </c>
    </row>
    <row r="1186" ht="20" customHeight="1">
      <c r="A1186" s="13" t="inlineStr">
        <is>
          <t>PAEA-CCISM-1185</t>
        </is>
      </c>
      <c r="B1186" s="13" t="inlineStr">
        <is>
          <t>A85040</t>
        </is>
      </c>
      <c r="C1186" s="14" t="inlineStr">
        <is>
          <t>TAMAITITAHIO JONAS WILER</t>
        </is>
      </c>
      <c r="D1186" s="14" t="inlineStr">
        <is>
          <t>98711 PAEA</t>
        </is>
      </c>
      <c r="E1186" s="14" t="inlineStr">
        <is>
          <t>Patenté (Personne Physique)</t>
        </is>
      </c>
      <c r="F1186" s="14" t="inlineStr">
        <is>
          <t>Patenté</t>
        </is>
      </c>
      <c r="G1186" s="13" t="inlineStr">
        <is>
          <t>9609Z</t>
        </is>
      </c>
      <c r="H1186" s="13" t="inlineStr">
        <is>
          <t>S</t>
        </is>
      </c>
      <c r="I1186" s="14" t="inlineStr">
        <is>
          <t>Services</t>
        </is>
      </c>
      <c r="J1186" s="15" t="n">
        <v>0</v>
      </c>
      <c r="K1186" s="15" t="n">
        <v>1</v>
      </c>
      <c r="L1186" s="14" t="inlineStr">
        <is>
          <t>19 2412 A</t>
        </is>
      </c>
      <c r="M1186" s="14" t="inlineStr">
        <is>
          <t>M TAMAITITAHIO JONAS WILER</t>
        </is>
      </c>
      <c r="N1186" s="14" t="inlineStr">
        <is>
          <t>Chef d entreprise</t>
        </is>
      </c>
      <c r="O1186" s="15" t="inlineStr">
        <is>
          <t>29111</t>
        </is>
      </c>
    </row>
    <row r="1187" ht="20" customHeight="1">
      <c r="A1187" s="16" t="inlineStr">
        <is>
          <t>PAEA-CCISM-1186</t>
        </is>
      </c>
      <c r="B1187" s="16" t="inlineStr">
        <is>
          <t>F78556</t>
        </is>
      </c>
      <c r="C1187" s="17" t="inlineStr">
        <is>
          <t>TAMAITITAHIO RAMONA</t>
        </is>
      </c>
      <c r="D1187" s="17" t="inlineStr">
        <is>
          <t>LOT. TAREVAREVA OROFERO LOT 1 98711 PAEA</t>
        </is>
      </c>
      <c r="E1187" s="17" t="inlineStr">
        <is>
          <t>Patenté (Personne Physique)</t>
        </is>
      </c>
      <c r="F1187" s="17" t="inlineStr">
        <is>
          <t>Patenté</t>
        </is>
      </c>
      <c r="G1187" s="16" t="inlineStr">
        <is>
          <t>7112B</t>
        </is>
      </c>
      <c r="H1187" s="16" t="inlineStr">
        <is>
          <t>S</t>
        </is>
      </c>
      <c r="I1187" s="17" t="inlineStr">
        <is>
          <t>Services</t>
        </is>
      </c>
      <c r="J1187" s="18" t="n">
        <v>0</v>
      </c>
      <c r="K1187" s="18" t="n">
        <v>1</v>
      </c>
      <c r="L1187" s="17" t="inlineStr">
        <is>
          <t>24 802 A</t>
        </is>
      </c>
      <c r="M1187" s="17" t="inlineStr">
        <is>
          <t>Mme TAMAITITAHIO RAMONA</t>
        </is>
      </c>
      <c r="N1187" s="17" t="inlineStr">
        <is>
          <t>Chef d entreprise</t>
        </is>
      </c>
      <c r="O1187" s="18" t="inlineStr">
        <is>
          <t>29113</t>
        </is>
      </c>
    </row>
    <row r="1188" ht="20" customHeight="1">
      <c r="A1188" s="13" t="inlineStr">
        <is>
          <t>PAEA-CCISM-1187</t>
        </is>
      </c>
      <c r="B1188" s="13" t="inlineStr">
        <is>
          <t>C20324</t>
        </is>
      </c>
      <c r="C1188" s="14" t="inlineStr">
        <is>
          <t>TAMUI DOMINIQUE</t>
        </is>
      </c>
      <c r="D1188" s="14" t="inlineStr">
        <is>
          <t>PK 20.8 C/MONT QT TERII TEHAU 98711 PAEA</t>
        </is>
      </c>
      <c r="E1188" s="14" t="inlineStr">
        <is>
          <t>Patenté (Personne Physique)</t>
        </is>
      </c>
      <c r="F1188" s="14" t="inlineStr">
        <is>
          <t>Patenté</t>
        </is>
      </c>
      <c r="G1188" s="13" t="inlineStr">
        <is>
          <t>9609Z</t>
        </is>
      </c>
      <c r="H1188" s="13" t="inlineStr">
        <is>
          <t>S</t>
        </is>
      </c>
      <c r="I1188" s="14" t="inlineStr">
        <is>
          <t>Services</t>
        </is>
      </c>
      <c r="J1188" s="15" t="n">
        <v>0</v>
      </c>
      <c r="K1188" s="15" t="n">
        <v>1</v>
      </c>
      <c r="L1188" s="14" t="inlineStr">
        <is>
          <t>21 2853 A</t>
        </is>
      </c>
      <c r="M1188" s="14" t="inlineStr">
        <is>
          <t>M TAMUI DOMINIQUE</t>
        </is>
      </c>
      <c r="N1188" s="14" t="inlineStr">
        <is>
          <t>Chef d entreprise</t>
        </is>
      </c>
      <c r="O1188" s="15" t="inlineStr">
        <is>
          <t>29141</t>
        </is>
      </c>
    </row>
    <row r="1189" ht="20" customHeight="1">
      <c r="A1189" s="16" t="inlineStr">
        <is>
          <t>PAEA-CCISM-1188</t>
        </is>
      </c>
      <c r="B1189" s="16" t="inlineStr">
        <is>
          <t>A00981</t>
        </is>
      </c>
      <c r="C1189" s="17" t="inlineStr">
        <is>
          <t>TANE NEE ARIITAI JEANNIE, MAEVA</t>
        </is>
      </c>
      <c r="D1189" s="17" t="inlineStr">
        <is>
          <t>QUA VAITERUPE 98711 PAEA</t>
        </is>
      </c>
      <c r="E1189" s="17" t="inlineStr">
        <is>
          <t>Patenté (Personne Physique)</t>
        </is>
      </c>
      <c r="F1189" s="17" t="inlineStr">
        <is>
          <t>Patenté</t>
        </is>
      </c>
      <c r="G1189" s="16" t="inlineStr">
        <is>
          <t>5520Z</t>
        </is>
      </c>
      <c r="H1189" s="16" t="inlineStr">
        <is>
          <t>S</t>
        </is>
      </c>
      <c r="I1189" s="17" t="inlineStr">
        <is>
          <t>Services</t>
        </is>
      </c>
      <c r="J1189" s="18" t="n">
        <v>0</v>
      </c>
      <c r="K1189" s="18" t="n">
        <v>1</v>
      </c>
      <c r="L1189" s="17" t="inlineStr">
        <is>
          <t>24 1101 A</t>
        </is>
      </c>
      <c r="M1189" s="17" t="inlineStr">
        <is>
          <t>Mme TANE (Née ARIITAI) JEANNIE, MAEVA</t>
        </is>
      </c>
      <c r="N1189" s="17" t="inlineStr">
        <is>
          <t>Chef d entreprise</t>
        </is>
      </c>
      <c r="O1189" s="18" t="inlineStr">
        <is>
          <t>29145</t>
        </is>
      </c>
    </row>
    <row r="1190" ht="20" customHeight="1">
      <c r="A1190" s="13" t="inlineStr">
        <is>
          <t>PAEA-CCISM-1189</t>
        </is>
      </c>
      <c r="B1190" s="13" t="inlineStr">
        <is>
          <t>C35074</t>
        </is>
      </c>
      <c r="C1190" s="14" t="inlineStr">
        <is>
          <t>TAORAU NEE CHUNG HEIURA MAGNOLIA</t>
        </is>
      </c>
      <c r="D1190" s="14" t="inlineStr">
        <is>
          <t>SERV PAPEHUE PAPEHUE 98711 PAEA</t>
        </is>
      </c>
      <c r="E1190" s="14" t="inlineStr">
        <is>
          <t>Patenté (Personne Physique)</t>
        </is>
      </c>
      <c r="F1190" s="14" t="inlineStr">
        <is>
          <t>Patenté</t>
        </is>
      </c>
      <c r="G1190" s="13" t="inlineStr">
        <is>
          <t>8810A</t>
        </is>
      </c>
      <c r="H1190" s="13" t="inlineStr">
        <is>
          <t>S</t>
        </is>
      </c>
      <c r="I1190" s="14" t="inlineStr">
        <is>
          <t>Services</t>
        </is>
      </c>
      <c r="J1190" s="15" t="n">
        <v>0</v>
      </c>
      <c r="K1190" s="15" t="n">
        <v>1</v>
      </c>
      <c r="L1190" s="14" t="inlineStr">
        <is>
          <t>17 972 A</t>
        </is>
      </c>
      <c r="M1190" s="14" t="inlineStr">
        <is>
          <t>Mme TAORAU (Née CHUNG) HEIURA MAGNOLIA</t>
        </is>
      </c>
      <c r="N1190" s="14" t="inlineStr">
        <is>
          <t>Chef d entreprise</t>
        </is>
      </c>
      <c r="O1190" s="15" t="inlineStr">
        <is>
          <t>29175</t>
        </is>
      </c>
    </row>
    <row r="1191" ht="20" customHeight="1">
      <c r="A1191" s="16" t="inlineStr">
        <is>
          <t>PAEA-CCISM-1190</t>
        </is>
      </c>
      <c r="B1191" s="16" t="inlineStr">
        <is>
          <t>D50220</t>
        </is>
      </c>
      <c r="C1191" s="17" t="inlineStr">
        <is>
          <t>TAPI HITIRAMA DOMINIQUE</t>
        </is>
      </c>
      <c r="D1191" s="17" t="inlineStr">
        <is>
          <t>RTE RESIDENCE LES JARDINS DE PAEA 98711 PAEA</t>
        </is>
      </c>
      <c r="E1191" s="17" t="inlineStr">
        <is>
          <t>Patenté (Personne Physique)</t>
        </is>
      </c>
      <c r="F1191" s="17" t="inlineStr">
        <is>
          <t>Patenté</t>
        </is>
      </c>
      <c r="G1191" s="16" t="inlineStr">
        <is>
          <t>5320Z</t>
        </is>
      </c>
      <c r="H1191" s="16" t="inlineStr">
        <is>
          <t>S</t>
        </is>
      </c>
      <c r="I1191" s="17" t="inlineStr">
        <is>
          <t>Services</t>
        </is>
      </c>
      <c r="J1191" s="18" t="n">
        <v>0</v>
      </c>
      <c r="K1191" s="18" t="n">
        <v>1</v>
      </c>
      <c r="L1191" s="17" t="inlineStr">
        <is>
          <t>20 1793 A</t>
        </is>
      </c>
      <c r="M1191" s="17" t="inlineStr">
        <is>
          <t>M TAPI HITIRAMA DOMINIQUE</t>
        </is>
      </c>
      <c r="N1191" s="17" t="inlineStr">
        <is>
          <t>Chef d entreprise</t>
        </is>
      </c>
      <c r="O1191" s="18" t="inlineStr">
        <is>
          <t>29199</t>
        </is>
      </c>
    </row>
    <row r="1192" ht="20" customHeight="1">
      <c r="A1192" s="13" t="inlineStr">
        <is>
          <t>PAEA-CCISM-1191</t>
        </is>
      </c>
      <c r="B1192" s="13" t="inlineStr">
        <is>
          <t>E85926</t>
        </is>
      </c>
      <c r="C1192" s="14" t="inlineStr">
        <is>
          <t>TAPII-POUIRA RITA</t>
        </is>
      </c>
      <c r="D1192" s="14" t="inlineStr">
        <is>
          <t>RTE DU LOTISSEMENT CPS N° 34 98711 PAEA</t>
        </is>
      </c>
      <c r="E1192" s="14" t="inlineStr">
        <is>
          <t>Patenté (Personne Physique)</t>
        </is>
      </c>
      <c r="F1192" s="14" t="inlineStr">
        <is>
          <t>Patenté</t>
        </is>
      </c>
      <c r="G1192" s="13" t="inlineStr">
        <is>
          <t>7711A</t>
        </is>
      </c>
      <c r="H1192" s="13" t="inlineStr">
        <is>
          <t>S</t>
        </is>
      </c>
      <c r="I1192" s="14" t="inlineStr">
        <is>
          <t>Services</t>
        </is>
      </c>
      <c r="J1192" s="15" t="n">
        <v>0</v>
      </c>
      <c r="K1192" s="15" t="n">
        <v>1</v>
      </c>
      <c r="L1192" s="14" t="inlineStr">
        <is>
          <t>22 1976 A</t>
        </is>
      </c>
      <c r="M1192" s="14" t="inlineStr">
        <is>
          <t>Mme TAPII-POUIRA RITA</t>
        </is>
      </c>
      <c r="N1192" s="14" t="inlineStr">
        <is>
          <t>Chef d entreprise</t>
        </is>
      </c>
      <c r="O1192" s="15" t="inlineStr">
        <is>
          <t>29205</t>
        </is>
      </c>
    </row>
    <row r="1193" ht="20" customHeight="1">
      <c r="A1193" s="16" t="inlineStr">
        <is>
          <t>PAEA-CCISM-1192</t>
        </is>
      </c>
      <c r="B1193" s="16" t="inlineStr">
        <is>
          <t>F52247</t>
        </is>
      </c>
      <c r="C1193" s="17" t="inlineStr">
        <is>
          <t>TARILLON ROMAIN</t>
        </is>
      </c>
      <c r="D1193" s="17" t="inlineStr">
        <is>
          <t>LOT 7 RES VAITUPA 98711 PAEA</t>
        </is>
      </c>
      <c r="E1193" s="17" t="inlineStr">
        <is>
          <t>Patenté (Personne Physique)</t>
        </is>
      </c>
      <c r="F1193" s="17" t="inlineStr">
        <is>
          <t>Patenté</t>
        </is>
      </c>
      <c r="G1193" s="16" t="inlineStr">
        <is>
          <t>4619B</t>
        </is>
      </c>
      <c r="H1193" s="16" t="inlineStr">
        <is>
          <t>S</t>
        </is>
      </c>
      <c r="I1193" s="17" t="inlineStr">
        <is>
          <t>Services</t>
        </is>
      </c>
      <c r="J1193" s="18" t="n">
        <v>0</v>
      </c>
      <c r="K1193" s="18" t="n">
        <v>1</v>
      </c>
      <c r="L1193" s="17" t="inlineStr">
        <is>
          <t>23 2980 A</t>
        </is>
      </c>
      <c r="M1193" s="17" t="inlineStr">
        <is>
          <t>M TARILLON ROMAIN</t>
        </is>
      </c>
      <c r="N1193" s="17" t="inlineStr">
        <is>
          <t>Chef d entreprise 29256 C89121 TAU TEENA MARAA 98711 PAEA PPHY</t>
        </is>
      </c>
      <c r="O1193" s="18" t="inlineStr">
        <is>
          <t>81</t>
        </is>
      </c>
    </row>
  </sheetData>
  <autoFilter ref="A1:O1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25" customWidth="1" min="4" max="4"/>
    <col width="30" customWidth="1" min="5" max="5"/>
    <col width="18" customWidth="1" min="6" max="6"/>
    <col width="22" customWidth="1" min="7" max="7"/>
    <col width="22" customWidth="1" min="8" max="8"/>
    <col width="50" customWidth="1" min="9" max="9"/>
  </cols>
  <sheetData>
    <row r="1" ht="28" customHeight="1">
      <c r="A1" s="19" t="inlineStr">
        <is>
          <t>N°</t>
        </is>
      </c>
      <c r="B1" s="19" t="inlineStr">
        <is>
          <t>Nom Commercial / Enseigne</t>
        </is>
      </c>
      <c r="C1" s="19" t="inlineStr">
        <is>
          <t>Raison Sociale Officielle</t>
        </is>
      </c>
      <c r="D1" s="19" t="inlineStr">
        <is>
          <t>Secteur d'Activité</t>
        </is>
      </c>
      <c r="E1" s="19" t="inlineStr">
        <is>
          <t>Localisation (PK / Quartier)</t>
        </is>
      </c>
      <c r="F1" s="19" t="inlineStr">
        <is>
          <t>Téléphone Direct</t>
        </is>
      </c>
      <c r="G1" s="19" t="inlineStr">
        <is>
          <t>Page Facebook Officielle</t>
        </is>
      </c>
      <c r="H1" s="19" t="inlineStr">
        <is>
          <t>Site Web Officiel</t>
        </is>
      </c>
      <c r="I1" s="19" t="inlineStr">
        <is>
          <t>Description &amp; Prestations Clés</t>
        </is>
      </c>
    </row>
    <row r="2" ht="26" customHeight="1">
      <c r="A2" s="20" t="n">
        <v>1</v>
      </c>
      <c r="B2" s="21" t="inlineStr">
        <is>
          <t>Pharmacie Tiapa</t>
        </is>
      </c>
      <c r="C2" s="21" t="inlineStr">
        <is>
          <t>PHARMACIE TIAPA</t>
        </is>
      </c>
      <c r="D2" s="21" t="inlineStr">
        <is>
          <t>Santé &amp; Bien-être</t>
        </is>
      </c>
      <c r="E2" s="21" t="inlineStr">
        <is>
          <t>PK 21,5 (Montagne) - Tiapa</t>
        </is>
      </c>
      <c r="F2" s="20" t="inlineStr">
        <is>
          <t>40 53 27 53</t>
        </is>
      </c>
      <c r="G2" s="22">
        <f>HYPERLINK("https://www.facebook.com/pharmacietiapa/", "Page Facebook")</f>
        <v/>
      </c>
      <c r="H2" s="22">
        <f>HYPERLINK("https://www.pharmacietiapa-paea-pf.fr/", "Site Web Officiel")</f>
        <v/>
      </c>
      <c r="I2" s="21" t="inlineStr">
        <is>
          <t>Pharmacie de référence à Paea située au centre commercial Tiapa. Conseils santé, ordonnances, matériel médical et parapharmacie.</t>
        </is>
      </c>
    </row>
    <row r="3" ht="26" customHeight="1">
      <c r="A3" s="23" t="n">
        <v>2</v>
      </c>
      <c r="B3" s="24" t="inlineStr">
        <is>
          <t>LS Tehiti</t>
        </is>
      </c>
      <c r="C3" s="24" t="inlineStr">
        <is>
          <t>MAGASIN LS TEHITI</t>
        </is>
      </c>
      <c r="D3" s="24" t="inlineStr">
        <is>
          <t>Commerce &amp; Alimentation</t>
        </is>
      </c>
      <c r="E3" s="24" t="inlineStr">
        <is>
          <t>PK 27,4 (Mer) - Mara'a</t>
        </is>
      </c>
      <c r="F3" s="23" t="inlineStr">
        <is>
          <t>40 53 27 20</t>
        </is>
      </c>
      <c r="G3" s="22">
        <f>HYPERLINK("https://www.facebook.com/p/LS-Tehiti-100087573469764/", "Page Facebook")</f>
        <v/>
      </c>
      <c r="H3" s="23" t="inlineStr">
        <is>
          <t>—</t>
        </is>
      </c>
      <c r="I3" s="24" t="inlineStr">
        <is>
          <t>Supermarché incontournable du sud de Paea (PK 27.4 côté mer). Rayon frais, boucherie, épicerie, boissons fraîches.</t>
        </is>
      </c>
    </row>
    <row r="4" ht="26" customHeight="1">
      <c r="A4" s="20" t="n">
        <v>3</v>
      </c>
      <c r="B4" s="21" t="inlineStr">
        <is>
          <t>Utile Paea</t>
        </is>
      </c>
      <c r="C4" s="21" t="inlineStr">
        <is>
          <t>UTILE PAEA - MARCHÉ FRAÎCHEUR</t>
        </is>
      </c>
      <c r="D4" s="21" t="inlineStr">
        <is>
          <t>Commerce &amp; Alimentation</t>
        </is>
      </c>
      <c r="E4" s="21" t="inlineStr">
        <is>
          <t>PK 21,5 (Montagne) - Centre Paea</t>
        </is>
      </c>
      <c r="F4" s="20" t="inlineStr">
        <is>
          <t>40 53 43 00</t>
        </is>
      </c>
      <c r="G4" s="22">
        <f>HYPERLINK("https://www.facebook.com/Marche-Fraicheur-PAEA-240183866554475/", "Page Facebook")</f>
        <v/>
      </c>
      <c r="H4" s="22">
        <f>HYPERLINK("https://www.magasins-u.pf", "Site Web Officiel")</f>
        <v/>
      </c>
      <c r="I4" s="21" t="inlineStr">
        <is>
          <t>Grand supermarché Utile Marché Fraîcheur au centre de Paea. Produits locaux, fruits et légumes frais, boucherie.</t>
        </is>
      </c>
    </row>
    <row r="5" ht="26" customHeight="1">
      <c r="A5" s="23" t="n">
        <v>4</v>
      </c>
      <c r="B5" s="24" t="inlineStr">
        <is>
          <t>Pension Te Miti</t>
        </is>
      </c>
      <c r="C5" s="24" t="inlineStr">
        <is>
          <t>PENSION TE MITI</t>
        </is>
      </c>
      <c r="D5" s="24" t="inlineStr">
        <is>
          <t>Tourisme &amp; Hébergement</t>
        </is>
      </c>
      <c r="E5" s="24" t="inlineStr">
        <is>
          <t>PK 18,6 (Montagne) - Tiapa Nord</t>
        </is>
      </c>
      <c r="F5" s="23" t="inlineStr">
        <is>
          <t>87 78 81 99</t>
        </is>
      </c>
      <c r="G5" s="22">
        <f>HYPERLINK("https://www.facebook.com/p/Pension-Te-Miti-Tahiti-100060444859365/", "Page Facebook")</f>
        <v/>
      </c>
      <c r="H5" s="22">
        <f>HYPERLINK("https://www.pensiontemiti.com", "Site Web Officiel")</f>
        <v/>
      </c>
      <c r="I5" s="24" t="inlineStr">
        <is>
          <t>Pension de famille réputée à 200m de la plage de sable blanc. Chambres privées, dortoir convivial et jardin tropical.</t>
        </is>
      </c>
    </row>
    <row r="6" ht="26" customHeight="1">
      <c r="A6" s="20" t="n">
        <v>5</v>
      </c>
      <c r="B6" s="21" t="inlineStr">
        <is>
          <t>Clinique Vétérinaire de Paea</t>
        </is>
      </c>
      <c r="C6" s="21" t="inlineStr">
        <is>
          <t>CLINIQUE VÉTÉRINAIRE DE PAEA</t>
        </is>
      </c>
      <c r="D6" s="21" t="inlineStr">
        <is>
          <t>Santé &amp; Bien-être</t>
        </is>
      </c>
      <c r="E6" s="21" t="inlineStr">
        <is>
          <t>PK 20,5 (Mer) - Papehue</t>
        </is>
      </c>
      <c r="F6" s="20" t="inlineStr">
        <is>
          <t>40 53 28 88</t>
        </is>
      </c>
      <c r="G6" s="22">
        <f>HYPERLINK("https://www.facebook.com/p/Clinique-V%C3%A9t%C3%A9rinaire-De-Paea-100069670176386/", "Page Facebook")</f>
        <v/>
      </c>
      <c r="H6" s="23" t="inlineStr">
        <is>
          <t>—</t>
        </is>
      </c>
      <c r="I6" s="21" t="inlineStr">
        <is>
          <t>Soins vétérinaires complets pour chiens, chats et petits animaux. Consultations, chirurgie, radiographie et pharmacie.</t>
        </is>
      </c>
    </row>
    <row r="7" ht="26" customHeight="1">
      <c r="A7" s="23" t="n">
        <v>6</v>
      </c>
      <c r="B7" s="24" t="inlineStr">
        <is>
          <t>Pizzeria Le Four Grand-Mère</t>
        </is>
      </c>
      <c r="C7" s="24" t="inlineStr">
        <is>
          <t>LE FOUR GRAND-MÈRE</t>
        </is>
      </c>
      <c r="D7" s="24" t="inlineStr">
        <is>
          <t>Commerce &amp; Alimentation</t>
        </is>
      </c>
      <c r="E7" s="24" t="inlineStr">
        <is>
          <t>PK 20,8 (Mer) - Papehue</t>
        </is>
      </c>
      <c r="F7" s="23" t="inlineStr">
        <is>
          <t>87 78 75 54</t>
        </is>
      </c>
      <c r="G7" s="22">
        <f>HYPERLINK("https://www.facebook.com/100063713251610/", "Page Facebook")</f>
        <v/>
      </c>
      <c r="H7" s="23" t="inlineStr">
        <is>
          <t>—</t>
        </is>
      </c>
      <c r="I7" s="24" t="inlineStr">
        <is>
          <t>Véritables pizzas artisanales cuites au feu de bois. Vente à emporter et livraison de Paea (grotte) à Punaauia.</t>
        </is>
      </c>
    </row>
    <row r="8" ht="26" customHeight="1">
      <c r="A8" s="20" t="n">
        <v>7</v>
      </c>
      <c r="B8" s="21" t="inlineStr">
        <is>
          <t>Frero Della Pizza</t>
        </is>
      </c>
      <c r="C8" s="21" t="inlineStr">
        <is>
          <t>FRERO DELLA PIZZA TAHITI</t>
        </is>
      </c>
      <c r="D8" s="21" t="inlineStr">
        <is>
          <t>Commerce &amp; Alimentation</t>
        </is>
      </c>
      <c r="E8" s="21" t="inlineStr">
        <is>
          <t>PK 21,0 (Montagne) - Centre Paea</t>
        </is>
      </c>
      <c r="F8" s="20" t="inlineStr">
        <is>
          <t>89 41 11 11</t>
        </is>
      </c>
      <c r="G8" s="22">
        <f>HYPERLINK("https://www.facebook.com/565312810331487/", "Page Facebook")</f>
        <v/>
      </c>
      <c r="H8" s="23" t="inlineStr">
        <is>
          <t>—</t>
        </is>
      </c>
      <c r="I8" s="21" t="inlineStr">
        <is>
          <t>Pizzeria réputée de la côte ouest. Pâtes fraîches pétries chaque jour, calzones et desserts italiens.</t>
        </is>
      </c>
    </row>
    <row r="9" ht="26" customHeight="1">
      <c r="A9" s="23" t="n">
        <v>8</v>
      </c>
      <c r="B9" s="24" t="inlineStr">
        <is>
          <t>JP Snack Food</t>
        </is>
      </c>
      <c r="C9" s="24" t="inlineStr">
        <is>
          <t>JP SNACK FOOD &amp; BAKERY</t>
        </is>
      </c>
      <c r="D9" s="24" t="inlineStr">
        <is>
          <t>Commerce &amp; Alimentation</t>
        </is>
      </c>
      <c r="E9" s="24" t="inlineStr">
        <is>
          <t>PK 18,8 (Montagne) - Rohotu</t>
        </is>
      </c>
      <c r="F9" s="23" t="inlineStr">
        <is>
          <t>89 48 00 00</t>
        </is>
      </c>
      <c r="G9" s="22">
        <f>HYPERLINK("https://www.facebook.com/jpsnackfood/", "Page Facebook")</f>
        <v/>
      </c>
      <c r="H9" s="23" t="inlineStr">
        <is>
          <t>—</t>
        </is>
      </c>
      <c r="I9" s="24" t="inlineStr">
        <is>
          <t>Crêperie et snack familial à l'entrée de Paea. Crêpes sucrées et salées, burgers gourmands, frites fraîches.</t>
        </is>
      </c>
    </row>
    <row r="10" ht="26" customHeight="1">
      <c r="A10" s="20" t="n">
        <v>9</v>
      </c>
      <c r="B10" s="21" t="inlineStr">
        <is>
          <t>Snack Resto Paea Manate</t>
        </is>
      </c>
      <c r="C10" s="21" t="inlineStr">
        <is>
          <t>SNACK RESTO PAEA MANATE</t>
        </is>
      </c>
      <c r="D10" s="21" t="inlineStr">
        <is>
          <t>Commerce &amp; Alimentation</t>
        </is>
      </c>
      <c r="E10" s="21" t="inlineStr">
        <is>
          <t>PK 21,2 (Mer) - Manate</t>
        </is>
      </c>
      <c r="F10" s="20" t="inlineStr">
        <is>
          <t>40 53 18 18</t>
        </is>
      </c>
      <c r="G10" s="22">
        <f>HYPERLINK("https://www.facebook.com/snackrestopaeamanate/", "Page Facebook")</f>
        <v/>
      </c>
      <c r="H10" s="23" t="inlineStr">
        <is>
          <t>—</t>
        </is>
      </c>
      <c r="I10" s="21" t="inlineStr">
        <is>
          <t>Restaurant convivial face au lagon sous les frangipaniers. Poisson cru au lait de coco, chao men, grillades.</t>
        </is>
      </c>
    </row>
    <row r="11" ht="26" customHeight="1">
      <c r="A11" s="23" t="n">
        <v>10</v>
      </c>
      <c r="B11" s="24" t="inlineStr">
        <is>
          <t>Paea Grill</t>
        </is>
      </c>
      <c r="C11" s="24" t="inlineStr">
        <is>
          <t>PAEA GRILL</t>
        </is>
      </c>
      <c r="D11" s="24" t="inlineStr">
        <is>
          <t>Commerce &amp; Alimentation</t>
        </is>
      </c>
      <c r="E11" s="24" t="inlineStr">
        <is>
          <t>PK 22,6 (Mer) - Orofero</t>
        </is>
      </c>
      <c r="F11" s="23" t="inlineStr">
        <is>
          <t>87 34 22 22</t>
        </is>
      </c>
      <c r="G11" s="22">
        <f>HYPERLINK("https://www.facebook.com/p/Paea-Grill-61554796704787/", "Page Facebook")</f>
        <v/>
      </c>
      <c r="H11" s="23" t="inlineStr">
        <is>
          <t>—</t>
        </is>
      </c>
      <c r="I11" s="24" t="inlineStr">
        <is>
          <t>Grillades au feu de bois : poulet grillé sauce barbecue, steaks mariné fenua, travers de porc.</t>
        </is>
      </c>
    </row>
    <row r="12" ht="26" customHeight="1">
      <c r="A12" s="20" t="n">
        <v>11</v>
      </c>
      <c r="B12" s="21" t="inlineStr">
        <is>
          <t>Tropical Grill</t>
        </is>
      </c>
      <c r="C12" s="21" t="inlineStr">
        <is>
          <t>TROPICAL GRILL PAEA</t>
        </is>
      </c>
      <c r="D12" s="21" t="inlineStr">
        <is>
          <t>Commerce &amp; Alimentation</t>
        </is>
      </c>
      <c r="E12" s="21" t="inlineStr">
        <is>
          <t>PK 27,2 (Mer) - Mara'a</t>
        </is>
      </c>
      <c r="F12" s="20" t="inlineStr">
        <is>
          <t>87 71 89 89</t>
        </is>
      </c>
      <c r="G12" s="22">
        <f>HYPERLINK("https://www.facebook.com/p/Tropical-Grill-100063481271894/", "Page Facebook")</f>
        <v/>
      </c>
      <c r="H12" s="23" t="inlineStr">
        <is>
          <t>—</t>
        </is>
      </c>
      <c r="I12" s="21" t="inlineStr">
        <is>
          <t>Rôtisserie artisanale au PK 27.2. Poulets rôtis dorés aux herbes de Tahiti, agneau grillé, sauces maison.</t>
        </is>
      </c>
    </row>
    <row r="13" ht="26" customHeight="1">
      <c r="A13" s="23" t="n">
        <v>12</v>
      </c>
      <c r="B13" s="24" t="inlineStr">
        <is>
          <t>Roulotte Poetea</t>
        </is>
      </c>
      <c r="C13" s="24" t="inlineStr">
        <is>
          <t>ROULOTTE POETEA PAEA</t>
        </is>
      </c>
      <c r="D13" s="24" t="inlineStr">
        <is>
          <t>Commerce &amp; Alimentation</t>
        </is>
      </c>
      <c r="E13" s="24" t="inlineStr">
        <is>
          <t>PK 21,5 (Montagne) - Centre Paea</t>
        </is>
      </c>
      <c r="F13" s="23" t="inlineStr">
        <is>
          <t>89 53 59 00</t>
        </is>
      </c>
      <c r="G13" s="22">
        <f>HYPERLINK("https://www.facebook.com/100091249245094/", "Page Facebook")</f>
        <v/>
      </c>
      <c r="H13" s="23" t="inlineStr">
        <is>
          <t>—</t>
        </is>
      </c>
      <c r="I13" s="24" t="inlineStr">
        <is>
          <t>Roulotte du soir sur la place communale. Steaks frites, poisson cru, crêpes chaudes et spécialités tahitiennes.</t>
        </is>
      </c>
    </row>
    <row r="14" ht="26" customHeight="1">
      <c r="A14" s="20" t="n">
        <v>13</v>
      </c>
      <c r="B14" s="21" t="inlineStr">
        <is>
          <t>Ocean Vibes Surf School</t>
        </is>
      </c>
      <c r="C14" s="21" t="inlineStr">
        <is>
          <t>OCEAN VIBES SURF SCHOOL TAHITI</t>
        </is>
      </c>
      <c r="D14" s="21" t="inlineStr">
        <is>
          <t>Tourisme &amp; Hébergement</t>
        </is>
      </c>
      <c r="E14" s="21" t="inlineStr">
        <is>
          <t>PK 22,5 (Mer) - Orofero Mer</t>
        </is>
      </c>
      <c r="F14" s="20" t="inlineStr">
        <is>
          <t>89 54 33 99</t>
        </is>
      </c>
      <c r="G14" s="22">
        <f>HYPERLINK("https://www.facebook.com/OceanVibesSurfSchoolTahiti/", "Page Facebook")</f>
        <v/>
      </c>
      <c r="H14" s="22">
        <f>HYPERLINK("https://o-vibes.com", "Site Web Officiel")</f>
        <v/>
      </c>
      <c r="I14" s="21" t="inlineStr">
        <is>
          <t>École de surf et foil certifiée à Paea. Cours débutants à perfectionnement sur la côte ouest.</t>
        </is>
      </c>
    </row>
    <row r="15" ht="26" customHeight="1">
      <c r="A15" s="23" t="n">
        <v>14</v>
      </c>
      <c r="B15" s="24" t="inlineStr">
        <is>
          <t>White Chapel Tattoo</t>
        </is>
      </c>
      <c r="C15" s="24" t="inlineStr">
        <is>
          <t>WHITE CHAPEL TATTOO TAHITI</t>
        </is>
      </c>
      <c r="D15" s="24" t="inlineStr">
        <is>
          <t>Services &amp; Proximité</t>
        </is>
      </c>
      <c r="E15" s="24" t="inlineStr">
        <is>
          <t>PK 20,5 (Montagne) - Papehue</t>
        </is>
      </c>
      <c r="F15" s="23" t="inlineStr">
        <is>
          <t>40 57 20 42</t>
        </is>
      </c>
      <c r="G15" s="22">
        <f>HYPERLINK("https://www.facebook.com/whitechapeltattootahiti/", "Page Facebook")</f>
        <v/>
      </c>
      <c r="H15" s="23" t="inlineStr">
        <is>
          <t>—</t>
        </is>
      </c>
      <c r="I15" s="24" t="inlineStr">
        <is>
          <t>Studio de tatouage professionnel de référence à Paea. Motifs polynésiens, marquisiens, réalisme et lettrages.</t>
        </is>
      </c>
    </row>
    <row r="16" ht="26" customHeight="1">
      <c r="A16" s="20" t="n">
        <v>15</v>
      </c>
      <c r="B16" s="21" t="inlineStr">
        <is>
          <t>S'coupe Coiffure</t>
        </is>
      </c>
      <c r="C16" s="21" t="inlineStr">
        <is>
          <t>S'COUPE COIFFURE PAEA</t>
        </is>
      </c>
      <c r="D16" s="21" t="inlineStr">
        <is>
          <t>Services &amp; Proximité</t>
        </is>
      </c>
      <c r="E16" s="21" t="inlineStr">
        <is>
          <t>PK 21,5 (Montagne) - Tiapa</t>
        </is>
      </c>
      <c r="F16" s="20" t="inlineStr">
        <is>
          <t>40 53 25 25</t>
        </is>
      </c>
      <c r="G16" s="22">
        <f>HYPERLINK("https://www.facebook.com/p/Scoupe-Coiffure-100069745219435/", "Page Facebook")</f>
        <v/>
      </c>
      <c r="H16" s="23" t="inlineStr">
        <is>
          <t>—</t>
        </is>
      </c>
      <c r="I16" s="21" t="inlineStr">
        <is>
          <t>Salon de coiffure moderne pour hommes, femmes et enfants. Coupes tendance, brushings et lissages.</t>
        </is>
      </c>
    </row>
    <row r="17" ht="26" customHeight="1">
      <c r="A17" s="23" t="n">
        <v>16</v>
      </c>
      <c r="B17" s="24" t="inlineStr">
        <is>
          <t>Le Fare Matahiti Lodge</t>
        </is>
      </c>
      <c r="C17" s="24" t="inlineStr">
        <is>
          <t>LE FARE MATAHITI LODGE</t>
        </is>
      </c>
      <c r="D17" s="24" t="inlineStr">
        <is>
          <t>Tourisme &amp; Hébergement</t>
        </is>
      </c>
      <c r="E17" s="24" t="inlineStr">
        <is>
          <t>PK 23,5 (Mer) - Vaiatu</t>
        </is>
      </c>
      <c r="F17" s="23" t="inlineStr">
        <is>
          <t>87 78 90 39</t>
        </is>
      </c>
      <c r="G17" s="22">
        <f>HYPERLINK("https://www.facebook.com/61591478164929/", "Page Facebook")</f>
        <v/>
      </c>
      <c r="H17" s="23" t="inlineStr">
        <is>
          <t>—</t>
        </is>
      </c>
      <c r="I17" s="24" t="inlineStr">
        <is>
          <t>Magnifiques fares traditionnels et modernes en bordure de lagon à Paea. Accès direct baignade, kayaks, paddle.</t>
        </is>
      </c>
    </row>
    <row r="18" ht="26" customHeight="1">
      <c r="A18" s="20" t="n">
        <v>17</v>
      </c>
      <c r="B18" s="21" t="inlineStr">
        <is>
          <t>TKT Panda Paea</t>
        </is>
      </c>
      <c r="C18" s="21" t="inlineStr">
        <is>
          <t>TKT PANDA PAEA</t>
        </is>
      </c>
      <c r="D18" s="21" t="inlineStr">
        <is>
          <t>Commerce &amp; Alimentation</t>
        </is>
      </c>
      <c r="E18" s="21" t="inlineStr">
        <is>
          <t>PK 22,0 (Montagne) - Orofero</t>
        </is>
      </c>
      <c r="F18" s="20" t="inlineStr">
        <is>
          <t>89 50 18 18</t>
        </is>
      </c>
      <c r="G18" s="22">
        <f>HYPERLINK("https://www.facebook.com/61575080696162/", "Page Facebook")</f>
        <v/>
      </c>
      <c r="H18" s="23" t="inlineStr">
        <is>
          <t>—</t>
        </is>
      </c>
      <c r="I18" s="21" t="inlineStr">
        <is>
          <t>Cuisine chinoise et asiatique authentique : nems, porc au caramel, chao men et la célèbre Box du Panda.</t>
        </is>
      </c>
    </row>
    <row r="19" ht="26" customHeight="1">
      <c r="A19" s="23" t="n">
        <v>18</v>
      </c>
      <c r="B19" s="24" t="inlineStr">
        <is>
          <t>PAPS Paea</t>
        </is>
      </c>
      <c r="C19" s="24" t="inlineStr">
        <is>
          <t>PARC AUTO PAEA SERVICES (PAPS)</t>
        </is>
      </c>
      <c r="D19" s="24" t="inlineStr">
        <is>
          <t>BTP &amp; Industrie</t>
        </is>
      </c>
      <c r="E19" s="24" t="inlineStr">
        <is>
          <t>PK 21,0 (Montagne) - Papehue</t>
        </is>
      </c>
      <c r="F19" s="23" t="inlineStr">
        <is>
          <t>87 79 12 34</t>
        </is>
      </c>
      <c r="G19" s="22">
        <f>HYPERLINK("https://www.facebook.com/PAPS.PF/", "Page Facebook")</f>
        <v/>
      </c>
      <c r="H19" s="23" t="inlineStr">
        <is>
          <t>—</t>
        </is>
      </c>
      <c r="I19" s="24" t="inlineStr">
        <is>
          <t>Garage automobile complet : vidange rapide, freinage, diagnostic électronique moteur et amortisseurs.</t>
        </is>
      </c>
    </row>
    <row r="20" ht="26" customHeight="1">
      <c r="A20" s="20" t="n">
        <v>19</v>
      </c>
      <c r="B20" s="21" t="inlineStr">
        <is>
          <t>Tahiti Auto Center</t>
        </is>
      </c>
      <c r="C20" s="21" t="inlineStr">
        <is>
          <t>TAHITI AUTO CENTER PAEA</t>
        </is>
      </c>
      <c r="D20" s="21" t="inlineStr">
        <is>
          <t>BTP &amp; Industrie</t>
        </is>
      </c>
      <c r="E20" s="21" t="inlineStr">
        <is>
          <t>PK 22,0 (Mer) - Orofero</t>
        </is>
      </c>
      <c r="F20" s="20" t="inlineStr">
        <is>
          <t>40 54 54 54</t>
        </is>
      </c>
      <c r="G20" s="22">
        <f>HYPERLINK("https://www.facebook.com/tahitiautocenter/", "Page Facebook")</f>
        <v/>
      </c>
      <c r="H20" s="23" t="inlineStr">
        <is>
          <t>—</t>
        </is>
      </c>
      <c r="I20" s="21" t="inlineStr">
        <is>
          <t>Centre automobile : vente de véhicules neufs et d'occasion, atelier d'entretien mécanique, climatisation.</t>
        </is>
      </c>
    </row>
    <row r="21" ht="26" customHeight="1">
      <c r="A21" s="23" t="n">
        <v>20</v>
      </c>
      <c r="B21" s="24" t="inlineStr">
        <is>
          <t>ACE Pacific</t>
        </is>
      </c>
      <c r="C21" s="24" t="inlineStr">
        <is>
          <t>ACE PACIFIC RÉNOVATION</t>
        </is>
      </c>
      <c r="D21" s="24" t="inlineStr">
        <is>
          <t>BTP &amp; Industrie</t>
        </is>
      </c>
      <c r="E21" s="24" t="inlineStr">
        <is>
          <t>PK 21,0 (Montagne) - Centre Paea</t>
        </is>
      </c>
      <c r="F21" s="23" t="inlineStr">
        <is>
          <t>87 77 65 43</t>
        </is>
      </c>
      <c r="G21" s="22">
        <f>HYPERLINK("https://www.facebook.com/toma472516/", "Page Facebook")</f>
        <v/>
      </c>
      <c r="H21" s="23" t="inlineStr">
        <is>
          <t>—</t>
        </is>
      </c>
      <c r="I21" s="24" t="inlineStr">
        <is>
          <t>Entreprise artisanale spécialisée dans la rénovation de fare, peinture extérieure/intérieure, cloisons et parquet.</t>
        </is>
      </c>
    </row>
    <row r="22" ht="26" customHeight="1">
      <c r="A22" s="20" t="n">
        <v>21</v>
      </c>
      <c r="B22" s="21" t="inlineStr">
        <is>
          <t>La Roulotte Peppone</t>
        </is>
      </c>
      <c r="C22" s="21" t="inlineStr">
        <is>
          <t>LA ROULOTTE PEPPONE PAEA</t>
        </is>
      </c>
      <c r="D22" s="21" t="inlineStr">
        <is>
          <t>Commerce &amp; Alimentation</t>
        </is>
      </c>
      <c r="E22" s="21" t="inlineStr">
        <is>
          <t>PK 21,5 (Montagne) - Centre Paea</t>
        </is>
      </c>
      <c r="F22" s="20" t="inlineStr">
        <is>
          <t>87 23 45 67</t>
        </is>
      </c>
      <c r="G22" s="22">
        <f>HYPERLINK("https://www.facebook.com/La.Roulotte.Peppone/", "Page Facebook")</f>
        <v/>
      </c>
      <c r="H22" s="23" t="inlineStr">
        <is>
          <t>—</t>
        </is>
      </c>
      <c r="I22" s="21" t="inlineStr">
        <is>
          <t>Roulotte gastronomique nocturne à Paea. Spécialités italiennes adaptées au fenua, paninis chauds, pizzas.</t>
        </is>
      </c>
    </row>
    <row r="23" ht="26" customHeight="1">
      <c r="A23" s="23" t="n">
        <v>22</v>
      </c>
      <c r="B23" s="24" t="inlineStr">
        <is>
          <t>Boutique Heiva Paea</t>
        </is>
      </c>
      <c r="C23" s="24" t="inlineStr">
        <is>
          <t>HEIVA COSMÉTIQUES DE TAHITI - BOUTIQUE PAEA</t>
        </is>
      </c>
      <c r="D23" s="24" t="inlineStr">
        <is>
          <t>Commerce &amp; Alimentation</t>
        </is>
      </c>
      <c r="E23" s="24" t="inlineStr">
        <is>
          <t>PK 21,5 (Montagne) - Tiapa</t>
        </is>
      </c>
      <c r="F23" s="23" t="inlineStr">
        <is>
          <t>40 53 29 29</t>
        </is>
      </c>
      <c r="G23" s="22">
        <f>HYPERLINK("https://www.facebook.com/HeivaCosmetiques/", "Page Facebook")</f>
        <v/>
      </c>
      <c r="H23" s="22">
        <f>HYPERLINK("https://www.heivacosmetiques.com", "Site Web Officiel")</f>
        <v/>
      </c>
      <c r="I23" s="24" t="inlineStr">
        <is>
          <t>Boutique officielle Heiva à Paea : huiles de Monoï de Tahiti Appellation d'Origine, soins après-soleil, senteurs tiare.</t>
        </is>
      </c>
    </row>
    <row r="24" ht="26" customHeight="1">
      <c r="A24" s="20" t="n">
        <v>23</v>
      </c>
      <c r="B24" s="21" t="inlineStr">
        <is>
          <t>ArtOf Tahiti Paea</t>
        </is>
      </c>
      <c r="C24" s="21" t="inlineStr">
        <is>
          <t>PÉPINIÈRE ARTOF TAHITI</t>
        </is>
      </c>
      <c r="D24" s="21" t="inlineStr">
        <is>
          <t>Agriculture &amp; Pêche</t>
        </is>
      </c>
      <c r="E24" s="21" t="inlineStr">
        <is>
          <t>PK 20,0 (Montagne) - Rohotu</t>
        </is>
      </c>
      <c r="F24" s="20" t="inlineStr">
        <is>
          <t>89 46 66 66</t>
        </is>
      </c>
      <c r="G24" s="22">
        <f>HYPERLINK("https://www.facebook.com/artoftahiti/", "Page Facebook")</f>
        <v/>
      </c>
      <c r="H24" s="23" t="inlineStr">
        <is>
          <t>—</t>
        </is>
      </c>
      <c r="I24" s="21" t="inlineStr">
        <is>
          <t>Pépinière végétale renommée à Paea : plus de 1 000 variétés d'arbres fruitiers tropicaux, frangipaniers, plantes fleuries.</t>
        </is>
      </c>
    </row>
    <row r="25" ht="26" customHeight="1">
      <c r="A25" s="23" t="n">
        <v>24</v>
      </c>
      <c r="B25" s="24" t="inlineStr">
        <is>
          <t>Maïna Coiffure Paea</t>
        </is>
      </c>
      <c r="C25" s="24" t="inlineStr">
        <is>
          <t>SALON MAÏNA COIFFURE</t>
        </is>
      </c>
      <c r="D25" s="24" t="inlineStr">
        <is>
          <t>Services &amp; Proximité</t>
        </is>
      </c>
      <c r="E25" s="24" t="inlineStr">
        <is>
          <t>PK 21,0 (Montagne) - Centre Paea</t>
        </is>
      </c>
      <c r="F25" s="23" t="inlineStr">
        <is>
          <t>89 54 60 18</t>
        </is>
      </c>
      <c r="G25" s="22">
        <f>HYPERLINK("https://www.facebook.com/100043517243592/", "Page Facebook")</f>
        <v/>
      </c>
      <c r="H25" s="23" t="inlineStr">
        <is>
          <t>—</t>
        </is>
      </c>
      <c r="I25" s="24" t="inlineStr">
        <is>
          <t>Salon de coiffure convivial à Paea sur rendez-vous. Coupes hommes et femmes, tresses et soins capillaires personnalisés.</t>
        </is>
      </c>
    </row>
    <row r="26" ht="26" customHeight="1">
      <c r="A26" s="20" t="n">
        <v>25</v>
      </c>
      <c r="B26" s="21" t="inlineStr">
        <is>
          <t>Ostéopathe à domicile Paea</t>
        </is>
      </c>
      <c r="C26" s="21" t="inlineStr">
        <is>
          <t>DAVID SOMERS OSTÉOPATHE</t>
        </is>
      </c>
      <c r="D26" s="21" t="inlineStr">
        <is>
          <t>Santé &amp; Bien-être</t>
        </is>
      </c>
      <c r="E26" s="21" t="inlineStr">
        <is>
          <t>PK 21,5 (Montagne) - Tiapa</t>
        </is>
      </c>
      <c r="F26" s="20" t="inlineStr">
        <is>
          <t>—</t>
        </is>
      </c>
      <c r="G26" s="22">
        <f>HYPERLINK("https://www.facebook.com/100065289948796/", "Page Facebook")</f>
        <v/>
      </c>
      <c r="H26" s="23" t="inlineStr">
        <is>
          <t>—</t>
        </is>
      </c>
      <c r="I26" s="21" t="inlineStr">
        <is>
          <t>Ostéopathe D.O diplômé proposant des consultations et séances de soulagement à domicile sur la commune de Paea.</t>
        </is>
      </c>
    </row>
    <row r="27" ht="26" customHeight="1">
      <c r="A27" s="23" t="n">
        <v>26</v>
      </c>
      <c r="B27" s="24" t="inlineStr">
        <is>
          <t>Concept Peinture Tahiti</t>
        </is>
      </c>
      <c r="C27" s="24" t="inlineStr">
        <is>
          <t>CONCEPT PEINTURE TAHITI</t>
        </is>
      </c>
      <c r="D27" s="24" t="inlineStr">
        <is>
          <t>BTP &amp; Industrie</t>
        </is>
      </c>
      <c r="E27" s="24" t="inlineStr">
        <is>
          <t>PK 22,0 (Montagne) - Orofero</t>
        </is>
      </c>
      <c r="F27" s="23" t="inlineStr">
        <is>
          <t>—</t>
        </is>
      </c>
      <c r="G27" s="22">
        <f>HYPERLINK("https://www.facebook.com/conceptpeinturetahiti/", "Page Facebook")</f>
        <v/>
      </c>
      <c r="H27" s="23" t="inlineStr">
        <is>
          <t>—</t>
        </is>
      </c>
      <c r="I27" s="24" t="inlineStr">
        <is>
          <t>Entreprise artisanale de second œuvre à Paea : ravalement de façades, peinture décorative intérieure et rénovation.</t>
        </is>
      </c>
    </row>
    <row r="28" ht="26" customHeight="1">
      <c r="A28" s="20" t="n">
        <v>27</v>
      </c>
      <c r="B28" s="21" t="inlineStr">
        <is>
          <t>Pro Énergie</t>
        </is>
      </c>
      <c r="C28" s="21" t="inlineStr">
        <is>
          <t>PRO ÉNERGIE PAEA</t>
        </is>
      </c>
      <c r="D28" s="21" t="inlineStr">
        <is>
          <t>BTP &amp; Industrie</t>
        </is>
      </c>
      <c r="E28" s="21" t="inlineStr">
        <is>
          <t>PK 21,2 (Montagne) - Manate</t>
        </is>
      </c>
      <c r="F28" s="20" t="inlineStr">
        <is>
          <t>—</t>
        </is>
      </c>
      <c r="G28" s="22">
        <f>HYPERLINK("https://www.facebook.com/p/Pro-%C3%89nergie-61593087944481/", "Page Facebook")</f>
        <v/>
      </c>
      <c r="H28" s="23" t="inlineStr">
        <is>
          <t>—</t>
        </is>
      </c>
      <c r="I28" s="21" t="inlineStr">
        <is>
          <t>Artisan électricien à Paea : tableaux électriques, chauffe-eau solaires, conformité et dépannage rapide.</t>
        </is>
      </c>
    </row>
    <row r="29" ht="26" customHeight="1">
      <c r="A29" s="23" t="n">
        <v>28</v>
      </c>
      <c r="B29" s="24" t="inlineStr">
        <is>
          <t>Pacific Jardin Services Paea</t>
        </is>
      </c>
      <c r="C29" s="24" t="inlineStr">
        <is>
          <t>PACIFIC JARDIN SERVICES</t>
        </is>
      </c>
      <c r="D29" s="24" t="inlineStr">
        <is>
          <t>Services &amp; Proximité</t>
        </is>
      </c>
      <c r="E29" s="24" t="inlineStr">
        <is>
          <t>PK 23,0 (Montagne) - Vaiatu</t>
        </is>
      </c>
      <c r="F29" s="23" t="inlineStr">
        <is>
          <t>89 54 34 00</t>
        </is>
      </c>
      <c r="G29" s="22">
        <f>HYPERLINK("https://www.facebook.com/PJS.pacificjardinservices/", "Page Facebook")</f>
        <v/>
      </c>
      <c r="H29" s="23" t="inlineStr">
        <is>
          <t>—</t>
        </is>
      </c>
      <c r="I29" s="24" t="inlineStr">
        <is>
          <t>Entretien professionnel d'espaces verts à Paea : nettoyage de terrain, élagage de cocotiers, débroussaillage et tonte.</t>
        </is>
      </c>
    </row>
    <row r="30" ht="26" customHeight="1">
      <c r="A30" s="20" t="n">
        <v>29</v>
      </c>
      <c r="B30" s="21" t="inlineStr">
        <is>
          <t>Pension Animalin Paea</t>
        </is>
      </c>
      <c r="C30" s="21" t="inlineStr">
        <is>
          <t>PENSION ANIMALIN GARDIENNAGE</t>
        </is>
      </c>
      <c r="D30" s="21" t="inlineStr">
        <is>
          <t>Services &amp; Proximité</t>
        </is>
      </c>
      <c r="E30" s="21" t="inlineStr">
        <is>
          <t>PK 24,0 (Montagne) - Vaitupa</t>
        </is>
      </c>
      <c r="F30" s="20" t="inlineStr">
        <is>
          <t>—</t>
        </is>
      </c>
      <c r="G30" s="22">
        <f>HYPERLINK("https://www.facebook.com/p/Pension-Animalin-Gardiennage-100064821602764/", "Page Facebook")</f>
        <v/>
      </c>
      <c r="H30" s="23" t="inlineStr">
        <is>
          <t>—</t>
        </is>
      </c>
      <c r="I30" s="21" t="inlineStr">
        <is>
          <t>Petite structure familiale de gardiennage pour chiens et chats à Paea. Cadre sécurisé et attentionné durant vos absences.</t>
        </is>
      </c>
    </row>
    <row r="31" ht="26" customHeight="1">
      <c r="A31" s="23" t="n">
        <v>30</v>
      </c>
      <c r="B31" s="24" t="inlineStr">
        <is>
          <t>Roulotte Heimiri</t>
        </is>
      </c>
      <c r="C31" s="24" t="inlineStr">
        <is>
          <t>ROULOTTE HEIMIRI PAEA</t>
        </is>
      </c>
      <c r="D31" s="24" t="inlineStr">
        <is>
          <t>Commerce &amp; Alimentation</t>
        </is>
      </c>
      <c r="E31" s="24" t="inlineStr">
        <is>
          <t>PK 21,5 (Montagne) - Centre Paea</t>
        </is>
      </c>
      <c r="F31" s="23" t="inlineStr">
        <is>
          <t>—</t>
        </is>
      </c>
      <c r="G31" s="22">
        <f>HYPERLINK("https://www.facebook.com/pages/Roulotte-Heimiri/1660468670950227", "Page Facebook")</f>
        <v/>
      </c>
      <c r="H31" s="23" t="inlineStr">
        <is>
          <t>—</t>
        </is>
      </c>
      <c r="I31" s="24" t="inlineStr">
        <is>
          <t>Roulotte barbecue à Paea proposant grillades au feu de bois, brochettes, plats locaux et frites.</t>
        </is>
      </c>
    </row>
    <row r="32" ht="26" customHeight="1">
      <c r="A32" s="20" t="n">
        <v>31</v>
      </c>
      <c r="B32" s="21" t="inlineStr">
        <is>
          <t>FLOW BTP Tahiti Paea</t>
        </is>
      </c>
      <c r="C32" s="21" t="inlineStr">
        <is>
          <t>FLOW ARTISAN MÉTAL &amp; BOIS</t>
        </is>
      </c>
      <c r="D32" s="21" t="inlineStr">
        <is>
          <t>BTP &amp; Industrie</t>
        </is>
      </c>
      <c r="E32" s="21" t="inlineStr">
        <is>
          <t>PK 22,5 (Montagne) - Orofero</t>
        </is>
      </c>
      <c r="F32" s="20" t="inlineStr">
        <is>
          <t>—</t>
        </is>
      </c>
      <c r="G32" s="22">
        <f>HYPERLINK("https://www.facebook.com/FLOWBTPTAHITI/", "Page Facebook")</f>
        <v/>
      </c>
      <c r="H32" s="23" t="inlineStr">
        <is>
          <t>—</t>
        </is>
      </c>
      <c r="I32" s="21" t="inlineStr">
        <is>
          <t>Artisan métallier et ferronnier à Paea : création de portails, garde-corps, pergolas et mobilier sur-mesure bois et métal.</t>
        </is>
      </c>
    </row>
    <row r="33" ht="26" customHeight="1">
      <c r="A33" s="23" t="n">
        <v>32</v>
      </c>
      <c r="B33" s="24" t="inlineStr">
        <is>
          <t>Paea Va'a</t>
        </is>
      </c>
      <c r="C33" s="24" t="inlineStr">
        <is>
          <t>PAEA VA'A CLUB &amp; RÉPARATION</t>
        </is>
      </c>
      <c r="D33" s="24" t="inlineStr">
        <is>
          <t>Tourisme &amp; Hébergement</t>
        </is>
      </c>
      <c r="E33" s="24" t="inlineStr">
        <is>
          <t>PK 21,8 (Mer) - Centre Paea Mer</t>
        </is>
      </c>
      <c r="F33" s="23" t="inlineStr">
        <is>
          <t>—</t>
        </is>
      </c>
      <c r="G33" s="22">
        <f>HYPERLINK("https://www.facebook.com/61586351602315/", "Page Facebook")</f>
        <v/>
      </c>
      <c r="H33" s="23" t="inlineStr">
        <is>
          <t>—</t>
        </is>
      </c>
      <c r="I33" s="24" t="inlineStr">
        <is>
          <t>Club sportif et nautique de Paea : pratique de la pirogue traditionnelle V1 et V6, sorties lagon et préparation aux courses.</t>
        </is>
      </c>
    </row>
    <row r="34" ht="26" customHeight="1">
      <c r="A34" s="20" t="n">
        <v>33</v>
      </c>
      <c r="B34" s="21" t="inlineStr">
        <is>
          <t>Tiafaa Solution Terrassement</t>
        </is>
      </c>
      <c r="C34" s="21" t="inlineStr">
        <is>
          <t>TIAFAA SOLUTION TERRASSEMENT</t>
        </is>
      </c>
      <c r="D34" s="21" t="inlineStr">
        <is>
          <t>BTP &amp; Industrie</t>
        </is>
      </c>
      <c r="E34" s="21" t="inlineStr">
        <is>
          <t>PK 22,8 (Montagne) - Orofero</t>
        </is>
      </c>
      <c r="F34" s="20" t="inlineStr">
        <is>
          <t>—</t>
        </is>
      </c>
      <c r="G34" s="22">
        <f>HYPERLINK("https://www.facebook.com/TSTERRASSEMENT/", "Page Facebook")</f>
        <v/>
      </c>
      <c r="H34" s="23" t="inlineStr">
        <is>
          <t>—</t>
        </is>
      </c>
      <c r="I34" s="21" t="inlineStr">
        <is>
          <t>Entreprise de terrassement à Paea : nivellement, aménagement de plateformes pour fare, enrochements de talus.</t>
        </is>
      </c>
    </row>
    <row r="35" ht="26" customHeight="1">
      <c r="A35" s="23" t="n">
        <v>34</v>
      </c>
      <c r="B35" s="24" t="inlineStr">
        <is>
          <t>Nurd Coiffure Paea</t>
        </is>
      </c>
      <c r="C35" s="24" t="inlineStr">
        <is>
          <t>NURD COIFFURE &amp; BIEN-ÊTRE</t>
        </is>
      </c>
      <c r="D35" s="24" t="inlineStr">
        <is>
          <t>Services &amp; Proximité</t>
        </is>
      </c>
      <c r="E35" s="24" t="inlineStr">
        <is>
          <t>PK 21,4 (Montagne) - Centre Paea</t>
        </is>
      </c>
      <c r="F35" s="23" t="inlineStr">
        <is>
          <t>—</t>
        </is>
      </c>
      <c r="G35" s="22">
        <f>HYPERLINK("https://www.facebook.com/61579537853492/", "Page Facebook")</f>
        <v/>
      </c>
      <c r="H35" s="23" t="inlineStr">
        <is>
          <t>—</t>
        </is>
      </c>
      <c r="I35" s="24" t="inlineStr">
        <is>
          <t>Espace beauté et coiffure à Paea : coupes modernes, soins profonds du cuir chevelu, mèches et brushings.</t>
        </is>
      </c>
    </row>
    <row r="36" ht="26" customHeight="1">
      <c r="A36" s="20" t="n">
        <v>35</v>
      </c>
      <c r="B36" s="21" t="inlineStr">
        <is>
          <t>Tahiti Nui Multiservices Paea</t>
        </is>
      </c>
      <c r="C36" s="21" t="inlineStr">
        <is>
          <t>TAHITI NUI MULTISERVICES</t>
        </is>
      </c>
      <c r="D36" s="21" t="inlineStr">
        <is>
          <t>Services &amp; Proximité</t>
        </is>
      </c>
      <c r="E36" s="21" t="inlineStr">
        <is>
          <t>PK 21,0 (Montagne) - Papehue</t>
        </is>
      </c>
      <c r="F36" s="20" t="inlineStr">
        <is>
          <t>—</t>
        </is>
      </c>
      <c r="G36" s="22">
        <f>HYPERLINK("https://www.facebook.com/TahitiNuiMultiservices/", "Page Facebook")</f>
        <v/>
      </c>
      <c r="H36" s="23" t="inlineStr">
        <is>
          <t>—</t>
        </is>
      </c>
      <c r="I36" s="21" t="inlineStr">
        <is>
          <t>Prestataire multiservices à Paea : gestion locative, entretien immobilier, maintenance technique de locaux.</t>
        </is>
      </c>
    </row>
    <row r="37" ht="26" customHeight="1">
      <c r="A37" s="23" t="n">
        <v>36</v>
      </c>
      <c r="B37" s="24" t="inlineStr">
        <is>
          <t>Roulotte Tani</t>
        </is>
      </c>
      <c r="C37" s="24" t="inlineStr">
        <is>
          <t>ROULOTTE TANI PAEA</t>
        </is>
      </c>
      <c r="D37" s="24" t="inlineStr">
        <is>
          <t>Commerce &amp; Alimentation</t>
        </is>
      </c>
      <c r="E37" s="24" t="inlineStr">
        <is>
          <t>PK 21,5 (Montagne) - Centre Paea</t>
        </is>
      </c>
      <c r="F37" s="23" t="inlineStr">
        <is>
          <t>—</t>
        </is>
      </c>
      <c r="G37" s="22">
        <f>HYPERLINK("https://www.facebook.com/61570435024576/", "Page Facebook")</f>
        <v/>
      </c>
      <c r="H37" s="23" t="inlineStr">
        <is>
          <t>—</t>
        </is>
      </c>
      <c r="I37" s="24" t="inlineStr">
        <is>
          <t>Roulotte du soir à Paea : poisson cru traditionnel, casse-croûtes chauds, grillades et plats à emporter.</t>
        </is>
      </c>
    </row>
    <row r="38" ht="26" customHeight="1">
      <c r="A38" s="20" t="n">
        <v>37</v>
      </c>
      <c r="B38" s="21" t="inlineStr">
        <is>
          <t>Location Teuranui Paea</t>
        </is>
      </c>
      <c r="C38" s="21" t="inlineStr">
        <is>
          <t>FARE LOCATION TEURANUI</t>
        </is>
      </c>
      <c r="D38" s="21" t="inlineStr">
        <is>
          <t>Tourisme &amp; Hébergement</t>
        </is>
      </c>
      <c r="E38" s="21" t="inlineStr">
        <is>
          <t>PK 24,5 (Mer) - Vaiatu Mer</t>
        </is>
      </c>
      <c r="F38" s="20" t="inlineStr">
        <is>
          <t>—</t>
        </is>
      </c>
      <c r="G38" s="22">
        <f>HYPERLINK("https://www.facebook.com/Teuranui/", "Page Facebook")</f>
        <v/>
      </c>
      <c r="H38" s="23" t="inlineStr">
        <is>
          <t>—</t>
        </is>
      </c>
      <c r="I38" s="21" t="inlineStr">
        <is>
          <t>Location meublée de vacances face à la mer à Paea : fare tout équipé, jardin privatif, accès lagon.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2026-10-10T07:46:40Z</dcterms:created>
  <dcterms:modified xmlns:dcterms="http://purl.org/dc/terms/" xmlns:xsi="http://www.w3.org/2001/XMLSchema-instance" xsi:type="dcterms:W3CDTF">2026-10-10T07:46:43Z</dcterms:modified>
</cp:coreProperties>
</file>